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PVL\2026\PECOSAS\ABRIL\"/>
    </mc:Choice>
  </mc:AlternateContent>
  <xr:revisionPtr revIDLastSave="0" documentId="13_ncr:1_{FEC56E93-E540-4EDF-9123-8EF484BC34DC}" xr6:coauthVersionLast="47" xr6:coauthVersionMax="47" xr10:uidLastSave="{00000000-0000-0000-0000-000000000000}"/>
  <bookViews>
    <workbookView xWindow="-120" yWindow="-120" windowWidth="20730" windowHeight="11040" xr2:uid="{CD60E73A-EAEB-4913-A183-3C99D0591D92}"/>
  </bookViews>
  <sheets>
    <sheet name="base de datos" sheetId="3" r:id="rId1"/>
    <sheet name="COMITE" sheetId="6" r:id="rId2"/>
    <sheet name="ACTA DE CONFORMIDAD" sheetId="4" r:id="rId3"/>
  </sheets>
  <definedNames>
    <definedName name="_xlnm._FilterDatabase" localSheetId="0" hidden="1">'base de datos'!$B$4:$J$130</definedName>
    <definedName name="_xlnm.Criteria" localSheetId="0">'base de datos'!$B$4:$J$130</definedName>
    <definedName name="ReporteComite_16060120230414112555" localSheetId="0">'base de datos'!$C$4:$G$130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1" i="3" l="1"/>
  <c r="J131" i="3"/>
  <c r="H131" i="3"/>
  <c r="D30" i="4"/>
  <c r="D29" i="4"/>
  <c r="B20" i="4"/>
  <c r="L18" i="4"/>
  <c r="L17" i="4"/>
  <c r="G18" i="4"/>
  <c r="G17" i="4"/>
  <c r="C11" i="4" l="1"/>
  <c r="H11" i="4"/>
  <c r="E38" i="4"/>
  <c r="E37" i="4"/>
  <c r="K38" i="4"/>
  <c r="K37" i="4"/>
  <c r="C6" i="6" l="1"/>
  <c r="C7" i="6"/>
  <c r="C8" i="6"/>
  <c r="C9" i="6"/>
  <c r="C10" i="6"/>
  <c r="C11" i="6"/>
  <c r="C12" i="6"/>
  <c r="C13" i="6"/>
  <c r="C14" i="6"/>
  <c r="D7" i="6"/>
  <c r="D8" i="6"/>
  <c r="D9" i="6"/>
  <c r="D10" i="6"/>
  <c r="D11" i="6"/>
  <c r="D12" i="6"/>
  <c r="D13" i="6"/>
  <c r="D14" i="6"/>
  <c r="D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10435A-ABB2-420E-B083-1F67FC84C0FC}" name="ReporteComite_16060120230414112555" type="6" refreshedVersion="8" background="1" saveData="1">
    <textPr sourceFile="C:\Users\ALESSIA\Documents\ReporteComite_16060120230414112555.csv" tab="0" comma="1">
      <textFields count="3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<sst xmlns="http://schemas.openxmlformats.org/spreadsheetml/2006/main" count="363" uniqueCount="360">
  <si>
    <t>CASERIO CONTAMANILLO</t>
  </si>
  <si>
    <t>CASERIO NUEVO BELEN</t>
  </si>
  <si>
    <t>CASERIO JULIO C ARANA</t>
  </si>
  <si>
    <t>CASERIO NUEVO EGIPTO - RIO PISQUI</t>
  </si>
  <si>
    <t>CASERIO LA UNION</t>
  </si>
  <si>
    <t>CASERIO NUEVO AARON</t>
  </si>
  <si>
    <t>CASERIO JERUSALEN - RIO PISQUI</t>
  </si>
  <si>
    <t>CASERIO NUEVO AMANECER</t>
  </si>
  <si>
    <t>CASERIO ALAN GARCIA</t>
  </si>
  <si>
    <t>CASERIO NUEVO SAN PEDRO</t>
  </si>
  <si>
    <t>CASERIO MONTE SINAI</t>
  </si>
  <si>
    <t>CASERIO LOURDES DE TIPISHCA</t>
  </si>
  <si>
    <t>CASERIO NUEVO JERUSALEN - RIO UCAYALI</t>
  </si>
  <si>
    <t>CASERIO NUEVO PARAISO - RIO UCAYALI</t>
  </si>
  <si>
    <t>CASERIO NUEVO SAN ROQUE</t>
  </si>
  <si>
    <t>CASERIO NUEVO SUHAYA</t>
  </si>
  <si>
    <t>CASERIO PALESTINA- RIO PISQUI</t>
  </si>
  <si>
    <t>CASERIO PERLA DEL UCAYALI</t>
  </si>
  <si>
    <t>CASERIO PROGRESO</t>
  </si>
  <si>
    <t>CASERIO PUERTO ORIENTE</t>
  </si>
  <si>
    <t>CASERIO PUERTO PRADO - RIO PISQUI</t>
  </si>
  <si>
    <t>CASERIO SAN CARLOS</t>
  </si>
  <si>
    <t>CASERIO SAN FRANCISCO - RIO PISQUI</t>
  </si>
  <si>
    <t>CASERIO SAN JOSE - QUEBRADA JOSELITO</t>
  </si>
  <si>
    <t>CASERIO SAN JUAN DE TIPISHCA</t>
  </si>
  <si>
    <t>CASERIO SAN MARTIN DE TIPISHCA</t>
  </si>
  <si>
    <t>CASERIO SAN MIGUEL - AGUAS CALIENTES</t>
  </si>
  <si>
    <t>CASERIO SAN MIGUEL - AMAQUIRIA</t>
  </si>
  <si>
    <t>CASERIO SAN PEDRO - TIPISHCA</t>
  </si>
  <si>
    <t>CASERIO SAN JUAN DE AMAQUIRIA</t>
  </si>
  <si>
    <t>CASERIO SAN ROQUE</t>
  </si>
  <si>
    <t>CASERIO SANTA ROSA - "A" TIPISHCA</t>
  </si>
  <si>
    <t>CASERIO SANTA ROSA - "B"  TIPISHCA</t>
  </si>
  <si>
    <t>CASERIO SANTA ROSA DE CASHIBOYA</t>
  </si>
  <si>
    <t>CASERIO SHANAILLO</t>
  </si>
  <si>
    <t>CASERIO TRES HERMANOS - RIO PISQUI</t>
  </si>
  <si>
    <t>CASERIO TUMBES</t>
  </si>
  <si>
    <t>COMUNIDAD NATIVA 9 DE OCTUBRE - RIO PISQUI</t>
  </si>
  <si>
    <t>COMUNIDAD NATIVA BELLAVISTA</t>
  </si>
  <si>
    <t>COMUNIDAD NATIVA CANAAN DE CACHIYACU</t>
  </si>
  <si>
    <t>COMUNIDAD NATIVA CANAAN DE TIPISHCA</t>
  </si>
  <si>
    <t>COMUNIDAD NATIVA GOLONDRINA DE SUHUAYA</t>
  </si>
  <si>
    <t>COMUNIDAD NATIVA MANCO CAPAC - RIO PISQUI</t>
  </si>
  <si>
    <t>COMUNIDAD NATIVA  MILAGRITOS</t>
  </si>
  <si>
    <t>COMUNIDAD NATIVA NUEVO ALIANZA</t>
  </si>
  <si>
    <t>COMUNIDAD NATIVA NUEVO EDEN - RIO PISQUI</t>
  </si>
  <si>
    <t>COMUNIDAD NATIVA NUEVO LIBERTADOR</t>
  </si>
  <si>
    <t>COMUNIDAD NATIVA NUEVO OLAYA</t>
  </si>
  <si>
    <t>COMUNIDAD NATIVA NUEVO SUCRE</t>
  </si>
  <si>
    <t>COMUNIDAD NATIVA SAN FRANCISCO DE ROMPEO</t>
  </si>
  <si>
    <t>COMUNIDAD NATIVA  SANTA MARIA - RIO PISQUI</t>
  </si>
  <si>
    <t>CASERIO NUEVO PALESTINA - NOAYA</t>
  </si>
  <si>
    <t>CASERIO SAN SALVADOR</t>
  </si>
  <si>
    <t>CASERIO HOLANDA</t>
  </si>
  <si>
    <t>LECHE</t>
  </si>
  <si>
    <t>HARINA</t>
  </si>
  <si>
    <t xml:space="preserve">A LOS </t>
  </si>
  <si>
    <t>LA MUNICIPALIDAD PROVINCIAL DE UCAYALI, ATRAVEZ DE LOS PROGRAMAS</t>
  </si>
  <si>
    <t>SOCIALES, PROGRAMA DEL VASO DE LECHE</t>
  </si>
  <si>
    <t>HACE ENTREGA:</t>
  </si>
  <si>
    <t>A LA SEÑORA</t>
  </si>
  <si>
    <t>CON DNI°</t>
  </si>
  <si>
    <t>PRESIDENTA Y AL SEÑOR(A)</t>
  </si>
  <si>
    <t>En las siguientes cantidades y esoecificaciones tecnicas:</t>
  </si>
  <si>
    <t>Latas de Leche Evaporada Gloria Grande de 410Gr.</t>
  </si>
  <si>
    <t>DNI</t>
  </si>
  <si>
    <t>Presidenta</t>
  </si>
  <si>
    <t>Almacenera</t>
  </si>
  <si>
    <t xml:space="preserve">DIAS DEL MES </t>
  </si>
  <si>
    <t>DEL</t>
  </si>
  <si>
    <t>ACTA DE ENTREGA - RECEPCION</t>
  </si>
  <si>
    <t>DNI ALMACENERA</t>
  </si>
  <si>
    <t>DNI PRESIDENTA</t>
  </si>
  <si>
    <t>PRESIDENTA</t>
  </si>
  <si>
    <t>ALMACENERA</t>
  </si>
  <si>
    <t xml:space="preserve">ALMACENERA, DEL COMITÉ DEL PROGRAMA DEL VASO DE LECHE </t>
  </si>
  <si>
    <t>UBICADO EN EL</t>
  </si>
  <si>
    <t>Bolsas de 1Kg. Mezcla de Harinas (arroz, avena y soya</t>
  </si>
  <si>
    <t>y platano deshidratado en Polvo).</t>
  </si>
  <si>
    <t>NOMBRE COMITÉ</t>
  </si>
  <si>
    <t>CASERIO BETANIA</t>
  </si>
  <si>
    <t>CASERIO LAS BRISAS</t>
  </si>
  <si>
    <t>CASERIO MONTE DE SION - CHORRILLOS</t>
  </si>
  <si>
    <t xml:space="preserve">DISTRITO DE CONTAMANA, PROVINCIA DE UCAYALI, DEPARTAMENTO DE LORETO, SE HACE </t>
  </si>
  <si>
    <t>25 DE OCTUBRE</t>
  </si>
  <si>
    <t>MALECON VARGAS GUERRA</t>
  </si>
  <si>
    <t>Aurea luz Dariva Ristaño</t>
  </si>
  <si>
    <t>Luz Mareli Dariva Tuesta</t>
  </si>
  <si>
    <t>Maria Zulema Rodriguez Carhuapoma</t>
  </si>
  <si>
    <t>Lucita Chely Pashanasi Macedo</t>
  </si>
  <si>
    <t>Eolida Machoa Nunta</t>
  </si>
  <si>
    <t>Estrella Diaz Ochavano</t>
  </si>
  <si>
    <t xml:space="preserve">Elida Vargas Ramirez  </t>
  </si>
  <si>
    <t xml:space="preserve">Graciela Vargas Ramirez </t>
  </si>
  <si>
    <t>Wendy Carolina Prada Loja</t>
  </si>
  <si>
    <t>Marjori Brillite Silva Lopez</t>
  </si>
  <si>
    <t>Maria Cardenas Ahuanari</t>
  </si>
  <si>
    <t>Elita Macedo Shuña</t>
  </si>
  <si>
    <t>Isabel Celidonia Cachique morales</t>
  </si>
  <si>
    <t>Vita Rengifo Plaza</t>
  </si>
  <si>
    <t>Adriana Silvano Odicio</t>
  </si>
  <si>
    <t>Grecia Monica Taricuarima Silvano</t>
  </si>
  <si>
    <t>Rosibet Martinez Cumari</t>
  </si>
  <si>
    <t>Nancy Rubi Pua Tapullima</t>
  </si>
  <si>
    <t>Rosa Dani Marquez Cachique</t>
  </si>
  <si>
    <t>Grimanesa Luna Pisco</t>
  </si>
  <si>
    <t>Elensit Salas Cachique</t>
  </si>
  <si>
    <t>Mildres Pisco Tuanama</t>
  </si>
  <si>
    <t>Dali Nalleli Ramirez Talexis</t>
  </si>
  <si>
    <t>Bitia Talexis Pizango</t>
  </si>
  <si>
    <t>Milagro Natividad Pinedo Manihuari de Izqierdo</t>
  </si>
  <si>
    <t>Geylith Curinuqui Manihuari</t>
  </si>
  <si>
    <t xml:space="preserve">Sadith Urias Gonzales </t>
  </si>
  <si>
    <t>Maria Nieves De la Cruz Arevalo</t>
  </si>
  <si>
    <t>Margia Martinez Sinacay</t>
  </si>
  <si>
    <t>Ercilia Sinuiri Picon</t>
  </si>
  <si>
    <t>Glendi Lisbeth Cordova Villasis</t>
  </si>
  <si>
    <t>Enith Pacaya Maytahuari</t>
  </si>
  <si>
    <t>Maribel Vasquez Cachique</t>
  </si>
  <si>
    <t>Corin Curichimba Arirama</t>
  </si>
  <si>
    <t>Jenny Padilla Silvano de Borgues</t>
  </si>
  <si>
    <t>Amelia Capuena Tapullima</t>
  </si>
  <si>
    <t>Asalia Picon Manicuama</t>
  </si>
  <si>
    <t xml:space="preserve">Paula Salazar Garcia </t>
  </si>
  <si>
    <t>Rosa Pacaya Silva</t>
  </si>
  <si>
    <t>Herta Luz Ochavano Tananta</t>
  </si>
  <si>
    <t>Sara Justina Macedo Luna</t>
  </si>
  <si>
    <t xml:space="preserve">Litza Meri Soria Rios </t>
  </si>
  <si>
    <t>Elda Patricia Pacaya Pasmiño</t>
  </si>
  <si>
    <t>Susan Gloria Pacaya Murayari</t>
  </si>
  <si>
    <t xml:space="preserve">Estefany Uribe Hoyos </t>
  </si>
  <si>
    <t>Chepa Villacrez Carrera</t>
  </si>
  <si>
    <t>Judith Vargas Pizango</t>
  </si>
  <si>
    <t>Juana Tananta Satalay</t>
  </si>
  <si>
    <t>Virginia Dahua Soria</t>
  </si>
  <si>
    <t>Dina Lucita Capunahuari</t>
  </si>
  <si>
    <t>Mishell Linares Rivas</t>
  </si>
  <si>
    <t>Jhen Jhumira Apuela Manicuama</t>
  </si>
  <si>
    <t xml:space="preserve">Rosario Alva Estrella </t>
  </si>
  <si>
    <t xml:space="preserve">Gladis Dioseli Alvarado Lopez </t>
  </si>
  <si>
    <t>Vesenia Lucita Ventura Wesember</t>
  </si>
  <si>
    <t>Ana Pianchachi Shilamaus</t>
  </si>
  <si>
    <t>Doylita Betsy Ramirez Lomas</t>
  </si>
  <si>
    <t>Blanaca Jasmina Pacaya Salas</t>
  </si>
  <si>
    <t xml:space="preserve">Cleofe Diaz Amasifuen  </t>
  </si>
  <si>
    <t>Reyna Milagros Huaman Rengifo</t>
  </si>
  <si>
    <t>Leyda Luz Ruiz Villasis</t>
  </si>
  <si>
    <t>Berita Ochavano Sangama</t>
  </si>
  <si>
    <t>Blanca Flor Tuanama Ponce</t>
  </si>
  <si>
    <t>Ema Nolorbe Curmayari</t>
  </si>
  <si>
    <t xml:space="preserve">Dionisia Bardales Saavedra </t>
  </si>
  <si>
    <t>Sarelit Shupingahua Lozano</t>
  </si>
  <si>
    <t>Nallely Mondaluisa Sinuiri</t>
  </si>
  <si>
    <t>Jhovana Flores Silvano</t>
  </si>
  <si>
    <t>Gessica Echevarria Flores</t>
  </si>
  <si>
    <t>Gisela Labinto Villanueva</t>
  </si>
  <si>
    <t xml:space="preserve">Arminda Muñoz Macedo </t>
  </si>
  <si>
    <t xml:space="preserve">Marilu Chanchari Alvarado </t>
  </si>
  <si>
    <t>Mili Ruiz Pinedo</t>
  </si>
  <si>
    <t>Rosa Berenice Ruiz Ruiz</t>
  </si>
  <si>
    <t>Marielith Tello Armas</t>
  </si>
  <si>
    <t>Abdias Tello Armas</t>
  </si>
  <si>
    <t xml:space="preserve">Elia Silva Garcia </t>
  </si>
  <si>
    <t>Naty Esther Maldonado Silva</t>
  </si>
  <si>
    <t>Luz Maribel Rengifo Curinuqui</t>
  </si>
  <si>
    <t>Erika Rengifo Curinuqui</t>
  </si>
  <si>
    <t>Ruth Sarai Tanchiva Urias</t>
  </si>
  <si>
    <t>Isiela Urias Valera</t>
  </si>
  <si>
    <t>Luz Margarita Inuma Gordon</t>
  </si>
  <si>
    <t xml:space="preserve">Estefita Laichi Natorce </t>
  </si>
  <si>
    <t>Mirna Garcia Gonzales</t>
  </si>
  <si>
    <t>Lidia Carmina Davila Ahuanari</t>
  </si>
  <si>
    <t xml:space="preserve">Jany Jackelin Venancino Guimaraes </t>
  </si>
  <si>
    <t>Damaris Tutucima Romaina</t>
  </si>
  <si>
    <t>Meri Casilda Sunuiri Sanancino</t>
  </si>
  <si>
    <t>Claudia Sofia Tuesta Rojas</t>
  </si>
  <si>
    <t>Jesica Gonzales Maldonado</t>
  </si>
  <si>
    <t>Evalina Campos Curitima</t>
  </si>
  <si>
    <t>24 DE NOVIEMBRE</t>
  </si>
  <si>
    <t>26 DE ABRIL</t>
  </si>
  <si>
    <t xml:space="preserve"> 28 DE JULIO</t>
  </si>
  <si>
    <t xml:space="preserve"> 7 DE JUNIO</t>
  </si>
  <si>
    <t>MARACANA</t>
  </si>
  <si>
    <t xml:space="preserve"> MARISCAL CASTILLA</t>
  </si>
  <si>
    <t xml:space="preserve"> MIRAFLORES</t>
  </si>
  <si>
    <t xml:space="preserve"> MOLINO</t>
  </si>
  <si>
    <t>NUEVO LORETO A</t>
  </si>
  <si>
    <t>NUEVO LORETO B</t>
  </si>
  <si>
    <t>NUEVO PROGRESO</t>
  </si>
  <si>
    <t>PAQUITO RAMIREZ</t>
  </si>
  <si>
    <t xml:space="preserve"> PARAISO</t>
  </si>
  <si>
    <t>PASAJE BELEN</t>
  </si>
  <si>
    <t xml:space="preserve"> PASAJE JOSE OLAYA</t>
  </si>
  <si>
    <t>PASAJE REQUENA</t>
  </si>
  <si>
    <t>PASAJE SAMUEL BARSESATH</t>
  </si>
  <si>
    <t>PASAJE SANTA ROSA</t>
  </si>
  <si>
    <t xml:space="preserve"> PETRO PERU B</t>
  </si>
  <si>
    <t>PROLONGACION MOISES RENGIFO A</t>
  </si>
  <si>
    <t>PROLONGACION MOISES RENGIFO B</t>
  </si>
  <si>
    <t>PUCALLPA A</t>
  </si>
  <si>
    <t xml:space="preserve"> PUCALLPA B</t>
  </si>
  <si>
    <t>RICARDO VALLES</t>
  </si>
  <si>
    <t>SAN FRANCISCO B</t>
  </si>
  <si>
    <t xml:space="preserve"> SAN JOSE DE JERUSALEN</t>
  </si>
  <si>
    <t>SIMON BOLIVAR</t>
  </si>
  <si>
    <t xml:space="preserve"> 12 DE NOVIEMBRE</t>
  </si>
  <si>
    <t xml:space="preserve"> 13 DE MAYO</t>
  </si>
  <si>
    <t xml:space="preserve"> ALFONSO UGARTE A</t>
  </si>
  <si>
    <t>ALFONSO UGARTE B</t>
  </si>
  <si>
    <t xml:space="preserve"> BARTOLOME RUIZ A</t>
  </si>
  <si>
    <t>BARTOLOME RUIZ B</t>
  </si>
  <si>
    <t>CAMPO VERDE</t>
  </si>
  <si>
    <t>CAMPO VERDE B</t>
  </si>
  <si>
    <t>FAUSTINO ZAPICO RAMOS A</t>
  </si>
  <si>
    <t>FAUSTINO ZAPICO RAMOS B</t>
  </si>
  <si>
    <t>JERUSALEN C</t>
  </si>
  <si>
    <t>JUAN PABLO II DE SHIRINGAL</t>
  </si>
  <si>
    <t>LA MARINA</t>
  </si>
  <si>
    <t>LAS BELLAS LOMAS</t>
  </si>
  <si>
    <t>LAS COLINAS</t>
  </si>
  <si>
    <t xml:space="preserve"> LAS VEGAS DE MAQUIA</t>
  </si>
  <si>
    <t>LEONCIO ZEVALLOS FLORES B</t>
  </si>
  <si>
    <t>LOS ANGELES</t>
  </si>
  <si>
    <t>LOS PORTALES DE NUEVO PROGRESO</t>
  </si>
  <si>
    <t>8 DE MAYO A</t>
  </si>
  <si>
    <t xml:space="preserve"> 8 DE MAYO B</t>
  </si>
  <si>
    <t>8 DE MAYO C</t>
  </si>
  <si>
    <t>8 DE MAYO D</t>
  </si>
  <si>
    <t xml:space="preserve"> 24 DE DICIEMBRE</t>
  </si>
  <si>
    <t>MANUEL E ROJAS A</t>
  </si>
  <si>
    <t xml:space="preserve"> MANUEL E ROJAS B</t>
  </si>
  <si>
    <t xml:space="preserve"> MANUEL E ROJAS C</t>
  </si>
  <si>
    <t xml:space="preserve"> MANUEL E ROJAS D</t>
  </si>
  <si>
    <t xml:space="preserve"> MAQUIA A</t>
  </si>
  <si>
    <t>BENEFICIARIOS</t>
  </si>
  <si>
    <t>COMUNIDAD NATIVA SANTA ROSA B RIO PISQUI</t>
  </si>
  <si>
    <t>COMUNIDAD NATIVA EMANUEL RIO PISQUI EMANUEL - RIO PISQUI</t>
  </si>
  <si>
    <t>Mirna Zarai Vela Gordon</t>
  </si>
  <si>
    <t>Genta Enith Gordon Tangua</t>
  </si>
  <si>
    <t>DIANI EUNICE CAUPER MAGIN</t>
  </si>
  <si>
    <t>NORMA PIZANGO MAGIN</t>
  </si>
  <si>
    <t>NERY RENGIFO CAMPOS</t>
  </si>
  <si>
    <t>WILMA VALERA SINUIRI</t>
  </si>
  <si>
    <t>COMUNIDAD NATIVA TRES UNIDOS - RIO PISQUI</t>
  </si>
  <si>
    <t>COMUNIDAD NATIVA TUPAC AMARU - RIO PISQUI</t>
  </si>
  <si>
    <t>COMUNIDAD NATIVA VENCEDOR - RIO PISQUI</t>
  </si>
  <si>
    <t>COMUNIDAD NATIVA CHARASMANA - RIO PISQUI</t>
  </si>
  <si>
    <t>COMUNIDAD NATIVA SANTA CLARA</t>
  </si>
  <si>
    <t>CASERIO FRAY MARTIN RIO PISQUI</t>
  </si>
  <si>
    <t>COMUNIDAD NATIVA IRAZOLA</t>
  </si>
  <si>
    <t>YANELI FERNANDEZ VASQUEZ</t>
  </si>
  <si>
    <t>YENI VIVIANA TITO ESPINOZA</t>
  </si>
  <si>
    <t>JULIA AHUANARI SINUIRI</t>
  </si>
  <si>
    <t>RIOJUANA FLORES CORTES</t>
  </si>
  <si>
    <t>AGATA ANTONIA SILUA ARTETA</t>
  </si>
  <si>
    <t>ROSA CECILIA MELENDEZ DASILVA</t>
  </si>
  <si>
    <t>MAYRA MACEDO MARIN</t>
  </si>
  <si>
    <t>JULIA TANANTA MUÑOZ</t>
  </si>
  <si>
    <t>WILMA TARICUARIMA AHUANARI</t>
  </si>
  <si>
    <t>GIOVANNA TARICUARIMA INUMA</t>
  </si>
  <si>
    <t>SANDRA TITIANA TUESTA PEÑA</t>
  </si>
  <si>
    <t>ROSA ELITA OCHAVANO SINUIRI</t>
  </si>
  <si>
    <t>ISABEL MARIA AVALOS FLORES</t>
  </si>
  <si>
    <t>SARITA TUESTA CARASSA</t>
  </si>
  <si>
    <t>LERY MARIN CHASHNAMOTE</t>
  </si>
  <si>
    <t>ROSITA LUZ REATEGUI DEL AGUILA</t>
  </si>
  <si>
    <t>TILDA ANGELINA TAFUR RAMIREZ</t>
  </si>
  <si>
    <t>CINTIA PAOLA AMASIFUEN RUIZ</t>
  </si>
  <si>
    <t>MARIA DEL PILAR MARTINEZ IÑIPE</t>
  </si>
  <si>
    <t>CRISTEL DANITZA CURMAYARI RUIZ</t>
  </si>
  <si>
    <t>ARIANA SADIT PANDURO TORRES</t>
  </si>
  <si>
    <t>PATRICIA CHAVEZ GUTIERREZ</t>
  </si>
  <si>
    <t>LORENA ZEVALLOS MAMOLADA</t>
  </si>
  <si>
    <t>LITA GIOVANI QUIO COPUNAHUARI</t>
  </si>
  <si>
    <t>FLOR DE MARIA TUESTA SAJAMI</t>
  </si>
  <si>
    <t>ELSA EMERITA TUESTA SAJAMI</t>
  </si>
  <si>
    <t>DINA PACAYA CANAYO</t>
  </si>
  <si>
    <t>SILVIA GABRIELA RODRIGUES PEÑA</t>
  </si>
  <si>
    <t>LIZBETH TORRES ARMAS</t>
  </si>
  <si>
    <t>LUPE CASHU AHUANARI</t>
  </si>
  <si>
    <t>REYNA AHUANARI CAMUTURI</t>
  </si>
  <si>
    <t>GILDA ROSA SALDAÑA BARBARAN</t>
  </si>
  <si>
    <t>JANEY NUNTA TENAZOA</t>
  </si>
  <si>
    <t>MIRNA TENAZOA NOLORBE</t>
  </si>
  <si>
    <t>MARTHA GRACIELA CAIMATA HUAYABA</t>
  </si>
  <si>
    <t>MARICARMEN TORREJON MARTINEZ</t>
  </si>
  <si>
    <t>JESSY FREYSI SHAPIAMA OCHAVANO</t>
  </si>
  <si>
    <t>KELLY SAJAMI PAREDES</t>
  </si>
  <si>
    <t>GABY DANIXA RAMIREZ PANDURO</t>
  </si>
  <si>
    <t>MARUVENIT NOLORVE TORREE</t>
  </si>
  <si>
    <t>MIRTA ELIZABETH CHAVEZ MANRRIQUE</t>
  </si>
  <si>
    <t>ISABEL MARIN SINARAHUA</t>
  </si>
  <si>
    <t>ATENAS ARCENTALES MARTINES</t>
  </si>
  <si>
    <t>LEIDY YAY CARDENAS</t>
  </si>
  <si>
    <t>LOS OLIVOS</t>
  </si>
  <si>
    <t>LICETH ANGULO GUARDIA</t>
  </si>
  <si>
    <t>MILIANITA RAMIREZ MARTINEZ</t>
  </si>
  <si>
    <t>LEIDI DIANA RAMIREZ CEVALLOS</t>
  </si>
  <si>
    <t>IDA OCHAVANO ALOMIAS</t>
  </si>
  <si>
    <t>KATTY LEON HOYOS</t>
  </si>
  <si>
    <t>CELINE MARGARITA FASABI MURRIETA</t>
  </si>
  <si>
    <t>ANNIE NICOLL RICKHOF YAICATE</t>
  </si>
  <si>
    <t>BLANCA LUCECITA GARCIA GARCIA</t>
  </si>
  <si>
    <t>LUTH SARAID BARTRA URQUIA</t>
  </si>
  <si>
    <t>OLGA DEL PILAR DIAZ OCAMPO</t>
  </si>
  <si>
    <t>ROSOARIO MEDALI PEREZ CASTERNOQUE</t>
  </si>
  <si>
    <t>FIANNI VELA RAMIREZ</t>
  </si>
  <si>
    <t>MARIA ISABEL ABISRROL MOZOMBITE</t>
  </si>
  <si>
    <t>MEYDI RUIZ AMASIFUEN</t>
  </si>
  <si>
    <t>BLANCA FLOR TUISIMA TUANAMA</t>
  </si>
  <si>
    <t>JARLY LISSET HIDALGO TUESTA</t>
  </si>
  <si>
    <t>NORA VALLES GUERRA</t>
  </si>
  <si>
    <t>CESIA RAMOS PLAZA</t>
  </si>
  <si>
    <t>MILI MILAGROS TAMANI SILVANO</t>
  </si>
  <si>
    <t>MARIA EMELINA SILVANO YAHUARCANI</t>
  </si>
  <si>
    <t>MARIA CRUSILDA SINARAHUA MACHOA</t>
  </si>
  <si>
    <t>ENERINA VELA PINEDO</t>
  </si>
  <si>
    <t>JULI LOPEZ HUANIO</t>
  </si>
  <si>
    <t>TEODOSIA QUIO CORDOVA</t>
  </si>
  <si>
    <t>AMPARITO SINUIRI TORRES</t>
  </si>
  <si>
    <t>TERESITA PAIMA IPUSHIMA</t>
  </si>
  <si>
    <t>MARISELA ISUIZA TANANTA</t>
  </si>
  <si>
    <t>JUANITA IRIS GARCIA CHU</t>
  </si>
  <si>
    <t>OTILIA PLAZA USHIÑAHUA</t>
  </si>
  <si>
    <t>NORA MARIN PLAZA</t>
  </si>
  <si>
    <t>LILIANA SERRANO MARIN</t>
  </si>
  <si>
    <t>MIRNA SILVANO MANIHUARI</t>
  </si>
  <si>
    <t>NICIDA ICAHUATE PINCHI</t>
  </si>
  <si>
    <t>MILUSCA CURITIMA HUARMIYURI</t>
  </si>
  <si>
    <t>ADOLIA YUYARIMA PACAYA</t>
  </si>
  <si>
    <t>GINA PAOLA PEREIRA MOZOMBITE</t>
  </si>
  <si>
    <t>REYNA ELIZA LOPEZ CERVANTES</t>
  </si>
  <si>
    <t>INDRIT AMASIFUEN DIAZ</t>
  </si>
  <si>
    <t>KATY LIZ DEL AGUILA IZUISA</t>
  </si>
  <si>
    <t>CINTIA MILAGROS CINACAISIVA</t>
  </si>
  <si>
    <t>SADITH OLIVEIRA PLAZA</t>
  </si>
  <si>
    <t>AMELIA CASTILLO SANGAMA</t>
  </si>
  <si>
    <t>MARTHA SANTAMARIA ALVARADO</t>
  </si>
  <si>
    <t>MARIA DE JESUS MACEDO RUIZ</t>
  </si>
  <si>
    <t>JOELA JOVANA RENGIFO HOYOS</t>
  </si>
  <si>
    <t>JOELA DAYANA PEREA RENGIFO</t>
  </si>
  <si>
    <t>LEYSI VIVIANA TAFUR DEL AGUILA</t>
  </si>
  <si>
    <t>MARITA JUSTINA PISANGO PLAZA</t>
  </si>
  <si>
    <t>FLOR AMELIA VELA SATALAY</t>
  </si>
  <si>
    <t>SILVIA MARINA DEL CASTILLO NARVAES</t>
  </si>
  <si>
    <t>LUZ MELITA RUIZ URQUIA</t>
  </si>
  <si>
    <t>HUDIANA SANGAMA SALAZAR</t>
  </si>
  <si>
    <t>NANCY ZUMAETA QUEVEDO</t>
  </si>
  <si>
    <t>MEGUI PISCO LATORRE</t>
  </si>
  <si>
    <t>MERLITA SHAPIAMA GONZALES</t>
  </si>
  <si>
    <t>LIZ TAMINCHI PAIFA</t>
  </si>
  <si>
    <t>CARMEN ROSA GARCIA CHOTA</t>
  </si>
  <si>
    <t>CLARITA PANDURO SINACAISIVA</t>
  </si>
  <si>
    <t>BEATRIS DELFINA FLORES MACEDO</t>
  </si>
  <si>
    <t>PAOLA DORIN PASHANASI FLORES</t>
  </si>
  <si>
    <t>AA</t>
  </si>
  <si>
    <t>COMUNIDAD NATIVA SAN PABLO DE SINUYA</t>
  </si>
  <si>
    <t>DEVORA VASQUEZ PEREZ</t>
  </si>
  <si>
    <t>CLAUDIA SHAHUANO CHANCHARI</t>
  </si>
  <si>
    <r>
      <t xml:space="preserve">ENTREGA CORRESPONDIENTE AL </t>
    </r>
    <r>
      <rPr>
        <b/>
        <sz val="14"/>
        <color theme="4" tint="-0.249977111117893"/>
        <rFont val="Calibri"/>
        <family val="2"/>
        <scheme val="minor"/>
      </rPr>
      <t xml:space="preserve">MES </t>
    </r>
    <r>
      <rPr>
        <b/>
        <sz val="20"/>
        <color theme="4" tint="-0.249977111117893"/>
        <rFont val="Calibri"/>
        <family val="2"/>
        <scheme val="minor"/>
      </rPr>
      <t>DE ABRIL DEL 2026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</si>
</sst>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Arial"/>
      <family val="2"/>
    </font>
    <font>
      <b/>
      <u/>
      <sz val="11"/>
      <color theme="1"/>
      <name val="Arial"/>
      <family val="2"/>
    </font>
    <font>
      <sz val="13"/>
      <color theme="1"/>
      <name val="Arial"/>
      <family val="2"/>
    </font>
    <font>
      <sz val="13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b/>
      <sz val="13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sz val="8"/>
      <color theme="4" tint="-0.249977111117893"/>
      <name val="Calibri"/>
      <family val="2"/>
      <scheme val="minor"/>
    </font>
    <font>
      <sz val="9"/>
      <color theme="4" tint="-0.249977111117893"/>
      <name val="Calibri"/>
      <family val="2"/>
      <scheme val="minor"/>
    </font>
    <font>
      <sz val="10"/>
      <color rgb="FF000000"/>
      <name val="Arial"/>
      <family val="2"/>
    </font>
    <font>
      <b/>
      <sz val="8"/>
      <color theme="1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1" xfId="0" applyBorder="1" applyAlignment="1">
      <alignment horizontal="center"/>
    </xf>
    <xf numFmtId="14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1" xfId="0" applyFont="1" applyBorder="1" applyAlignment="1">
      <alignment horizontal="center" vertical="center"/>
    </xf>
    <xf numFmtId="0" fontId="0" fillId="2" borderId="0" xfId="0" applyFill="1"/>
    <xf numFmtId="0" fontId="8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10" fillId="0" borderId="1" xfId="0" applyFont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164" fontId="0" fillId="0" borderId="0" xfId="0" applyNumberFormat="1"/>
    <xf numFmtId="0" fontId="0" fillId="0" borderId="9" xfId="0" applyBorder="1" applyAlignment="1">
      <alignment horizontal="right"/>
    </xf>
    <xf numFmtId="0" fontId="0" fillId="5" borderId="2" xfId="0" applyFill="1" applyBorder="1" applyAlignment="1">
      <alignment vertical="center" wrapText="1"/>
    </xf>
    <xf numFmtId="0" fontId="2" fillId="5" borderId="1" xfId="0" applyFont="1" applyFill="1" applyBorder="1" applyAlignment="1">
      <alignment horizontal="center" vertical="center" wrapText="1"/>
    </xf>
    <xf numFmtId="164" fontId="2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3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>
      <alignment vertical="center"/>
    </xf>
    <xf numFmtId="0" fontId="12" fillId="0" borderId="0" xfId="0" applyFont="1" applyAlignment="1">
      <alignment horizontal="right"/>
    </xf>
    <xf numFmtId="14" fontId="12" fillId="0" borderId="0" xfId="0" applyNumberFormat="1" applyFont="1"/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3" fillId="0" borderId="0" xfId="0" applyFont="1"/>
    <xf numFmtId="0" fontId="14" fillId="0" borderId="0" xfId="0" applyFont="1"/>
    <xf numFmtId="164" fontId="13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6" fillId="0" borderId="0" xfId="0" applyFont="1"/>
    <xf numFmtId="0" fontId="16" fillId="0" borderId="4" xfId="0" applyFont="1" applyBorder="1"/>
    <xf numFmtId="0" fontId="17" fillId="0" borderId="0" xfId="0" applyFont="1"/>
    <xf numFmtId="0" fontId="18" fillId="0" borderId="0" xfId="0" applyFont="1"/>
    <xf numFmtId="164" fontId="17" fillId="0" borderId="0" xfId="0" applyNumberFormat="1" applyFont="1"/>
    <xf numFmtId="0" fontId="19" fillId="0" borderId="0" xfId="0" applyFont="1" applyAlignment="1">
      <alignment horizontal="left" vertical="top"/>
    </xf>
    <xf numFmtId="0" fontId="19" fillId="0" borderId="0" xfId="0" applyFont="1" applyAlignment="1">
      <alignment vertical="top"/>
    </xf>
    <xf numFmtId="0" fontId="0" fillId="2" borderId="1" xfId="0" applyFill="1" applyBorder="1" applyAlignment="1">
      <alignment horizont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/>
    <xf numFmtId="0" fontId="21" fillId="5" borderId="1" xfId="0" applyFont="1" applyFill="1" applyBorder="1" applyAlignment="1">
      <alignment vertical="center"/>
    </xf>
    <xf numFmtId="1" fontId="1" fillId="2" borderId="12" xfId="0" applyNumberFormat="1" applyFont="1" applyFill="1" applyBorder="1"/>
    <xf numFmtId="0" fontId="0" fillId="2" borderId="2" xfId="0" applyFill="1" applyBorder="1" applyAlignment="1" applyProtection="1">
      <alignment horizontal="center"/>
      <protection locked="0"/>
    </xf>
    <xf numFmtId="0" fontId="0" fillId="2" borderId="13" xfId="0" applyFill="1" applyBorder="1"/>
    <xf numFmtId="0" fontId="20" fillId="0" borderId="0" xfId="0" applyFont="1" applyAlignment="1">
      <alignment horizontal="center" vertical="top" wrapText="1" readingOrder="1"/>
    </xf>
    <xf numFmtId="0" fontId="20" fillId="0" borderId="14" xfId="0" applyFont="1" applyBorder="1" applyAlignment="1">
      <alignment horizontal="center" vertical="top" wrapText="1" readingOrder="1"/>
    </xf>
    <xf numFmtId="0" fontId="0" fillId="6" borderId="0" xfId="0" applyFill="1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9" fillId="4" borderId="7" xfId="0" applyFont="1" applyFill="1" applyBorder="1" applyAlignment="1">
      <alignment horizontal="center" vertical="center" wrapText="1"/>
    </xf>
    <xf numFmtId="0" fontId="9" fillId="4" borderId="8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9" fillId="0" borderId="0" xfId="0" applyFont="1" applyAlignment="1">
      <alignment horizontal="left" vertical="top" wrapText="1"/>
    </xf>
    <xf numFmtId="0" fontId="15" fillId="0" borderId="0" xfId="0" applyFont="1" applyAlignment="1">
      <alignment horizontal="center"/>
    </xf>
    <xf numFmtId="164" fontId="17" fillId="0" borderId="5" xfId="0" applyNumberFormat="1" applyFont="1" applyBorder="1" applyAlignment="1">
      <alignment horizontal="center"/>
    </xf>
  </cellXfs>
  <cellStyles count="1">
    <cellStyle name="Normal" xfId="0" builtinId="0"/>
  </cellStyles>
  <dxfs count="4">
    <dxf>
      <font>
        <b/>
        <i/>
      </font>
      <fill>
        <patternFill>
          <bgColor rgb="FFEDFB33"/>
        </patternFill>
      </fill>
    </dxf>
    <dxf>
      <font>
        <b/>
        <i/>
      </font>
      <fill>
        <patternFill>
          <bgColor rgb="FFEDFB33"/>
        </patternFill>
      </fill>
    </dxf>
    <dxf>
      <font>
        <b/>
        <i/>
      </font>
      <fill>
        <patternFill>
          <bgColor rgb="FFEDFB33"/>
        </patternFill>
      </fill>
    </dxf>
    <dxf>
      <font>
        <b/>
        <i/>
      </font>
      <fill>
        <patternFill>
          <bgColor rgb="FFEDFB3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22" fmlaLink="$D$2" max="135" min="1" page="9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81</xdr:row>
      <xdr:rowOff>180975</xdr:rowOff>
    </xdr:from>
    <xdr:to>
      <xdr:col>6</xdr:col>
      <xdr:colOff>114300</xdr:colOff>
      <xdr:row>82</xdr:row>
      <xdr:rowOff>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06815" y="14628495"/>
          <a:ext cx="1853565" cy="190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P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05921692</a:t>
          </a:r>
        </a:p>
      </xdr:txBody>
    </xdr:sp>
    <xdr:clientData/>
  </xdr:twoCellAnchor>
  <xdr:twoCellAnchor>
    <xdr:from>
      <xdr:col>5</xdr:col>
      <xdr:colOff>104775</xdr:colOff>
      <xdr:row>81</xdr:row>
      <xdr:rowOff>180975</xdr:rowOff>
    </xdr:from>
    <xdr:to>
      <xdr:col>6</xdr:col>
      <xdr:colOff>114300</xdr:colOff>
      <xdr:row>82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88655" y="14628495"/>
          <a:ext cx="1853565" cy="190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P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05921692</a:t>
          </a:r>
        </a:p>
      </xdr:txBody>
    </xdr:sp>
    <xdr:clientData/>
  </xdr:twoCellAnchor>
  <xdr:twoCellAnchor>
    <xdr:from>
      <xdr:col>5</xdr:col>
      <xdr:colOff>104775</xdr:colOff>
      <xdr:row>74</xdr:row>
      <xdr:rowOff>180975</xdr:rowOff>
    </xdr:from>
    <xdr:to>
      <xdr:col>6</xdr:col>
      <xdr:colOff>114300</xdr:colOff>
      <xdr:row>75</xdr:row>
      <xdr:rowOff>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372475" y="13687425"/>
          <a:ext cx="904875" cy="95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P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05921692</a:t>
          </a:r>
        </a:p>
      </xdr:txBody>
    </xdr:sp>
    <xdr:clientData/>
  </xdr:twoCellAnchor>
  <xdr:twoCellAnchor>
    <xdr:from>
      <xdr:col>5</xdr:col>
      <xdr:colOff>104775</xdr:colOff>
      <xdr:row>75</xdr:row>
      <xdr:rowOff>180975</xdr:rowOff>
    </xdr:from>
    <xdr:to>
      <xdr:col>6</xdr:col>
      <xdr:colOff>114300</xdr:colOff>
      <xdr:row>76</xdr:row>
      <xdr:rowOff>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372475" y="13877925"/>
          <a:ext cx="904875" cy="95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P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05921692</a:t>
          </a:r>
        </a:p>
      </xdr:txBody>
    </xdr:sp>
    <xdr:clientData/>
  </xdr:twoCellAnchor>
  <xdr:twoCellAnchor>
    <xdr:from>
      <xdr:col>5</xdr:col>
      <xdr:colOff>104775</xdr:colOff>
      <xdr:row>75</xdr:row>
      <xdr:rowOff>180975</xdr:rowOff>
    </xdr:from>
    <xdr:to>
      <xdr:col>6</xdr:col>
      <xdr:colOff>114300</xdr:colOff>
      <xdr:row>76</xdr:row>
      <xdr:rowOff>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372475" y="13877925"/>
          <a:ext cx="904875" cy="95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P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05921692</a:t>
          </a:r>
        </a:p>
      </xdr:txBody>
    </xdr:sp>
    <xdr:clientData/>
  </xdr:twoCellAnchor>
  <xdr:twoCellAnchor>
    <xdr:from>
      <xdr:col>5</xdr:col>
      <xdr:colOff>104775</xdr:colOff>
      <xdr:row>73</xdr:row>
      <xdr:rowOff>180975</xdr:rowOff>
    </xdr:from>
    <xdr:to>
      <xdr:col>6</xdr:col>
      <xdr:colOff>114300</xdr:colOff>
      <xdr:row>74</xdr:row>
      <xdr:rowOff>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72475" y="13687425"/>
          <a:ext cx="904875" cy="95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P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05921692</a:t>
          </a:r>
        </a:p>
      </xdr:txBody>
    </xdr:sp>
    <xdr:clientData/>
  </xdr:twoCellAnchor>
  <xdr:twoCellAnchor>
    <xdr:from>
      <xdr:col>5</xdr:col>
      <xdr:colOff>104775</xdr:colOff>
      <xdr:row>74</xdr:row>
      <xdr:rowOff>180975</xdr:rowOff>
    </xdr:from>
    <xdr:to>
      <xdr:col>6</xdr:col>
      <xdr:colOff>114300</xdr:colOff>
      <xdr:row>75</xdr:row>
      <xdr:rowOff>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372475" y="13877925"/>
          <a:ext cx="904875" cy="95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P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05921692</a:t>
          </a:r>
        </a:p>
      </xdr:txBody>
    </xdr:sp>
    <xdr:clientData/>
  </xdr:twoCellAnchor>
  <xdr:twoCellAnchor>
    <xdr:from>
      <xdr:col>5</xdr:col>
      <xdr:colOff>104775</xdr:colOff>
      <xdr:row>74</xdr:row>
      <xdr:rowOff>180975</xdr:rowOff>
    </xdr:from>
    <xdr:to>
      <xdr:col>6</xdr:col>
      <xdr:colOff>114300</xdr:colOff>
      <xdr:row>75</xdr:row>
      <xdr:rowOff>0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372475" y="13877925"/>
          <a:ext cx="904875" cy="9525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PE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05921692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4</xdr:row>
          <xdr:rowOff>123825</xdr:rowOff>
        </xdr:from>
        <xdr:to>
          <xdr:col>4</xdr:col>
          <xdr:colOff>542925</xdr:colOff>
          <xdr:row>13</xdr:row>
          <xdr:rowOff>19050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28</xdr:row>
      <xdr:rowOff>73269</xdr:rowOff>
    </xdr:from>
    <xdr:to>
      <xdr:col>2</xdr:col>
      <xdr:colOff>168519</xdr:colOff>
      <xdr:row>28</xdr:row>
      <xdr:rowOff>153866</xdr:rowOff>
    </xdr:to>
    <xdr:sp macro="" textlink="">
      <xdr:nvSpPr>
        <xdr:cNvPr id="2" name="Diagrama de flujo: co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29153" y="4073769"/>
          <a:ext cx="80597" cy="80597"/>
        </a:xfrm>
        <a:prstGeom prst="flowChartConnector">
          <a:avLst/>
        </a:prstGeom>
        <a:solidFill>
          <a:schemeClr val="tx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</xdr:col>
      <xdr:colOff>86457</xdr:colOff>
      <xdr:row>29</xdr:row>
      <xdr:rowOff>64477</xdr:rowOff>
    </xdr:from>
    <xdr:to>
      <xdr:col>2</xdr:col>
      <xdr:colOff>167640</xdr:colOff>
      <xdr:row>29</xdr:row>
      <xdr:rowOff>144780</xdr:rowOff>
    </xdr:to>
    <xdr:sp macro="" textlink="">
      <xdr:nvSpPr>
        <xdr:cNvPr id="3" name="Diagrama de flujo: co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67557" y="6457657"/>
          <a:ext cx="81183" cy="80303"/>
        </a:xfrm>
        <a:prstGeom prst="flowChartConnector">
          <a:avLst/>
        </a:prstGeom>
        <a:solidFill>
          <a:schemeClr val="tx1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505558</xdr:colOff>
      <xdr:row>26</xdr:row>
      <xdr:rowOff>65942</xdr:rowOff>
    </xdr:from>
    <xdr:to>
      <xdr:col>2</xdr:col>
      <xdr:colOff>153865</xdr:colOff>
      <xdr:row>26</xdr:row>
      <xdr:rowOff>168519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26173" y="3685442"/>
          <a:ext cx="468923" cy="102577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porteComite_16060120230414112555" connectionId="1" xr16:uid="{4ED32049-D0DC-4F42-B5C1-CAAF93018509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7304D-CE2A-441F-B6A3-077A2FF38B44}">
  <sheetPr codeName="Hoja1"/>
  <dimension ref="A3:K131"/>
  <sheetViews>
    <sheetView showGridLines="0" tabSelected="1" showWhiteSpace="0" topLeftCell="B1" zoomScale="85" zoomScaleNormal="85" zoomScaleSheetLayoutView="100" zoomScalePageLayoutView="85" workbookViewId="0">
      <pane xSplit="2" ySplit="4" topLeftCell="D20" activePane="bottomRight" state="frozen"/>
      <selection activeCell="B1" sqref="B1"/>
      <selection pane="topRight" activeCell="D1" sqref="D1"/>
      <selection pane="bottomLeft" activeCell="B5" sqref="B5"/>
      <selection pane="bottomRight" activeCell="N30" sqref="N30"/>
    </sheetView>
  </sheetViews>
  <sheetFormatPr baseColWidth="10" defaultRowHeight="15" x14ac:dyDescent="0.25"/>
  <cols>
    <col min="1" max="1" width="6.7109375" customWidth="1"/>
    <col min="2" max="2" width="4.42578125" customWidth="1"/>
    <col min="3" max="3" width="49.5703125" customWidth="1"/>
    <col min="4" max="4" width="9.85546875" style="19" hidden="1" customWidth="1"/>
    <col min="5" max="5" width="36.28515625" hidden="1" customWidth="1"/>
    <col min="6" max="6" width="10.140625" style="19" hidden="1" customWidth="1"/>
    <col min="7" max="7" width="36" hidden="1" customWidth="1"/>
    <col min="8" max="8" width="9.28515625" customWidth="1"/>
    <col min="9" max="9" width="8.140625" customWidth="1"/>
    <col min="10" max="10" width="7.7109375" customWidth="1"/>
    <col min="11" max="11" width="8.7109375" customWidth="1"/>
  </cols>
  <sheetData>
    <row r="3" spans="1:11" x14ac:dyDescent="0.25">
      <c r="A3" s="59"/>
      <c r="B3" s="60"/>
      <c r="C3" s="60"/>
    </row>
    <row r="4" spans="1:11" ht="38.25" x14ac:dyDescent="0.25">
      <c r="A4" s="7"/>
      <c r="B4" s="21"/>
      <c r="C4" s="22" t="s">
        <v>79</v>
      </c>
      <c r="D4" s="23" t="s">
        <v>72</v>
      </c>
      <c r="E4" s="24" t="s">
        <v>73</v>
      </c>
      <c r="F4" s="23" t="s">
        <v>71</v>
      </c>
      <c r="G4" s="25" t="s">
        <v>74</v>
      </c>
      <c r="H4" s="52" t="s">
        <v>234</v>
      </c>
      <c r="I4" s="26" t="s">
        <v>54</v>
      </c>
      <c r="J4" s="26" t="s">
        <v>55</v>
      </c>
      <c r="K4" s="8"/>
    </row>
    <row r="5" spans="1:11" x14ac:dyDescent="0.25">
      <c r="B5" s="1">
        <v>1</v>
      </c>
      <c r="C5" s="43" t="s">
        <v>205</v>
      </c>
      <c r="D5" s="45">
        <v>81846145</v>
      </c>
      <c r="E5" s="18" t="s">
        <v>250</v>
      </c>
      <c r="F5" s="44">
        <v>46134991</v>
      </c>
      <c r="G5" s="18" t="s">
        <v>251</v>
      </c>
      <c r="H5" s="57">
        <v>51</v>
      </c>
      <c r="I5">
        <v>40</v>
      </c>
      <c r="J5">
        <v>20</v>
      </c>
      <c r="K5" s="8"/>
    </row>
    <row r="6" spans="1:11" x14ac:dyDescent="0.25">
      <c r="B6" s="1">
        <v>2</v>
      </c>
      <c r="C6" s="43" t="s">
        <v>206</v>
      </c>
      <c r="D6" s="45">
        <v>47763082</v>
      </c>
      <c r="E6" s="18" t="s">
        <v>252</v>
      </c>
      <c r="F6" s="44">
        <v>48618425</v>
      </c>
      <c r="G6" s="18" t="s">
        <v>253</v>
      </c>
      <c r="H6" s="57">
        <v>67</v>
      </c>
      <c r="I6">
        <v>53</v>
      </c>
      <c r="J6">
        <v>26</v>
      </c>
      <c r="K6" s="8"/>
    </row>
    <row r="7" spans="1:11" x14ac:dyDescent="0.25">
      <c r="B7" s="1">
        <v>3</v>
      </c>
      <c r="C7" s="43" t="s">
        <v>228</v>
      </c>
      <c r="D7" s="45">
        <v>62828234</v>
      </c>
      <c r="E7" s="18" t="s">
        <v>254</v>
      </c>
      <c r="F7" s="44">
        <v>48701980</v>
      </c>
      <c r="G7" s="18" t="s">
        <v>255</v>
      </c>
      <c r="H7" s="57">
        <v>44</v>
      </c>
      <c r="I7">
        <v>35</v>
      </c>
      <c r="J7">
        <v>17</v>
      </c>
      <c r="K7" s="8"/>
    </row>
    <row r="8" spans="1:11" x14ac:dyDescent="0.25">
      <c r="B8" s="1">
        <v>4</v>
      </c>
      <c r="C8" s="43" t="s">
        <v>178</v>
      </c>
      <c r="D8" s="45">
        <v>47015125</v>
      </c>
      <c r="E8" s="18" t="s">
        <v>256</v>
      </c>
      <c r="F8" s="44">
        <v>41708830</v>
      </c>
      <c r="G8" s="18" t="s">
        <v>257</v>
      </c>
      <c r="H8" s="57">
        <v>51</v>
      </c>
      <c r="I8">
        <v>40</v>
      </c>
      <c r="J8">
        <v>20</v>
      </c>
      <c r="K8" s="8"/>
    </row>
    <row r="9" spans="1:11" x14ac:dyDescent="0.25">
      <c r="B9" s="1">
        <v>5</v>
      </c>
      <c r="C9" s="43" t="s">
        <v>84</v>
      </c>
      <c r="D9" s="45">
        <v>76318279</v>
      </c>
      <c r="E9" s="18" t="s">
        <v>258</v>
      </c>
      <c r="F9" s="44">
        <v>76823484</v>
      </c>
      <c r="G9" s="18" t="s">
        <v>259</v>
      </c>
      <c r="H9" s="57">
        <v>51</v>
      </c>
      <c r="I9">
        <v>40</v>
      </c>
      <c r="J9">
        <v>20</v>
      </c>
      <c r="K9" s="8"/>
    </row>
    <row r="10" spans="1:11" x14ac:dyDescent="0.25">
      <c r="B10" s="1">
        <v>6</v>
      </c>
      <c r="C10" s="43" t="s">
        <v>179</v>
      </c>
      <c r="D10" s="45"/>
      <c r="E10" s="18"/>
      <c r="F10" s="44"/>
      <c r="G10" s="18"/>
      <c r="H10" s="57">
        <v>19</v>
      </c>
      <c r="I10">
        <v>15</v>
      </c>
      <c r="J10">
        <v>8</v>
      </c>
      <c r="K10" s="8"/>
    </row>
    <row r="11" spans="1:11" x14ac:dyDescent="0.25">
      <c r="B11" s="1">
        <v>7</v>
      </c>
      <c r="C11" s="43" t="s">
        <v>180</v>
      </c>
      <c r="D11" s="45">
        <v>73890310</v>
      </c>
      <c r="E11" s="18" t="s">
        <v>260</v>
      </c>
      <c r="F11" s="44">
        <v>45641054</v>
      </c>
      <c r="G11" s="18" t="s">
        <v>261</v>
      </c>
      <c r="H11" s="57">
        <v>36</v>
      </c>
      <c r="I11">
        <v>28</v>
      </c>
      <c r="J11">
        <v>14</v>
      </c>
      <c r="K11" s="8"/>
    </row>
    <row r="12" spans="1:11" x14ac:dyDescent="0.25">
      <c r="B12" s="1">
        <v>8</v>
      </c>
      <c r="C12" s="43" t="s">
        <v>181</v>
      </c>
      <c r="D12" s="45">
        <v>5954280</v>
      </c>
      <c r="E12" s="18" t="s">
        <v>262</v>
      </c>
      <c r="F12" s="44">
        <v>5921194</v>
      </c>
      <c r="G12" s="18" t="s">
        <v>263</v>
      </c>
      <c r="H12" s="57">
        <v>59</v>
      </c>
      <c r="I12">
        <v>47</v>
      </c>
      <c r="J12">
        <v>23</v>
      </c>
      <c r="K12" s="8"/>
    </row>
    <row r="13" spans="1:11" ht="14.25" customHeight="1" x14ac:dyDescent="0.25">
      <c r="B13" s="1">
        <v>9</v>
      </c>
      <c r="C13" s="43" t="s">
        <v>224</v>
      </c>
      <c r="D13" s="45">
        <v>43364480</v>
      </c>
      <c r="E13" s="18" t="s">
        <v>264</v>
      </c>
      <c r="F13" s="44">
        <v>40187729</v>
      </c>
      <c r="G13" s="18" t="s">
        <v>265</v>
      </c>
      <c r="H13" s="57">
        <v>63</v>
      </c>
      <c r="I13">
        <v>50</v>
      </c>
      <c r="J13">
        <v>25</v>
      </c>
      <c r="K13" s="8"/>
    </row>
    <row r="14" spans="1:11" x14ac:dyDescent="0.25">
      <c r="B14" s="1">
        <v>10</v>
      </c>
      <c r="C14" s="43" t="s">
        <v>225</v>
      </c>
      <c r="D14" s="45">
        <v>5921109</v>
      </c>
      <c r="E14" s="18" t="s">
        <v>266</v>
      </c>
      <c r="F14" s="44">
        <v>75224310</v>
      </c>
      <c r="G14" s="18" t="s">
        <v>267</v>
      </c>
      <c r="H14" s="57">
        <v>77</v>
      </c>
      <c r="I14">
        <v>61</v>
      </c>
      <c r="J14">
        <v>30</v>
      </c>
      <c r="K14" s="8"/>
    </row>
    <row r="15" spans="1:11" x14ac:dyDescent="0.25">
      <c r="B15" s="1">
        <v>11</v>
      </c>
      <c r="C15" s="43" t="s">
        <v>226</v>
      </c>
      <c r="D15" s="45">
        <v>77056719</v>
      </c>
      <c r="E15" s="18" t="s">
        <v>268</v>
      </c>
      <c r="F15" s="44">
        <v>80895075</v>
      </c>
      <c r="G15" s="18" t="s">
        <v>269</v>
      </c>
      <c r="H15" s="57">
        <v>47</v>
      </c>
      <c r="I15">
        <v>37</v>
      </c>
      <c r="J15">
        <v>18</v>
      </c>
      <c r="K15" s="8"/>
    </row>
    <row r="16" spans="1:11" x14ac:dyDescent="0.25">
      <c r="B16" s="1">
        <v>12</v>
      </c>
      <c r="C16" s="43" t="s">
        <v>227</v>
      </c>
      <c r="D16" s="45">
        <v>77244538</v>
      </c>
      <c r="E16" s="18" t="s">
        <v>270</v>
      </c>
      <c r="F16" s="44">
        <v>44960658</v>
      </c>
      <c r="G16" s="18" t="s">
        <v>271</v>
      </c>
      <c r="H16" s="57">
        <v>60</v>
      </c>
      <c r="I16">
        <v>48</v>
      </c>
      <c r="J16">
        <v>24</v>
      </c>
      <c r="K16" s="8"/>
    </row>
    <row r="17" spans="2:11" x14ac:dyDescent="0.25">
      <c r="B17" s="55" t="s">
        <v>355</v>
      </c>
      <c r="C17" s="43" t="s">
        <v>207</v>
      </c>
      <c r="D17" s="45">
        <v>47406030</v>
      </c>
      <c r="E17" s="18" t="s">
        <v>272</v>
      </c>
      <c r="F17" s="44">
        <v>48492834</v>
      </c>
      <c r="G17" s="18" t="s">
        <v>273</v>
      </c>
      <c r="H17" s="57">
        <v>39</v>
      </c>
      <c r="I17">
        <v>31</v>
      </c>
      <c r="J17">
        <v>15</v>
      </c>
      <c r="K17" s="8"/>
    </row>
    <row r="18" spans="2:11" x14ac:dyDescent="0.25">
      <c r="B18" s="1">
        <v>13</v>
      </c>
      <c r="C18" s="43" t="s">
        <v>208</v>
      </c>
      <c r="D18" s="45">
        <v>75797444</v>
      </c>
      <c r="E18" s="18" t="s">
        <v>274</v>
      </c>
      <c r="F18" s="44">
        <v>4482239</v>
      </c>
      <c r="G18" s="18" t="s">
        <v>275</v>
      </c>
      <c r="H18" s="57">
        <v>28</v>
      </c>
      <c r="I18">
        <v>22</v>
      </c>
      <c r="J18">
        <v>11</v>
      </c>
      <c r="K18" s="8"/>
    </row>
    <row r="19" spans="2:11" x14ac:dyDescent="0.25">
      <c r="B19" s="1">
        <v>14</v>
      </c>
      <c r="C19" s="43" t="s">
        <v>209</v>
      </c>
      <c r="D19" s="45"/>
      <c r="E19" s="18"/>
      <c r="F19" s="44"/>
      <c r="G19" s="18"/>
      <c r="H19" s="57">
        <v>40</v>
      </c>
      <c r="I19">
        <v>32</v>
      </c>
      <c r="J19">
        <v>16</v>
      </c>
      <c r="K19" s="8"/>
    </row>
    <row r="20" spans="2:11" x14ac:dyDescent="0.25">
      <c r="B20" s="1">
        <v>15</v>
      </c>
      <c r="C20" s="43" t="s">
        <v>210</v>
      </c>
      <c r="D20" s="45">
        <v>62275777</v>
      </c>
      <c r="E20" s="18" t="s">
        <v>276</v>
      </c>
      <c r="F20" s="44">
        <v>80997573</v>
      </c>
      <c r="G20" s="18" t="s">
        <v>277</v>
      </c>
      <c r="H20" s="57">
        <v>66</v>
      </c>
      <c r="I20">
        <v>52</v>
      </c>
      <c r="J20">
        <v>26</v>
      </c>
      <c r="K20" s="8"/>
    </row>
    <row r="21" spans="2:11" x14ac:dyDescent="0.25">
      <c r="B21" s="1">
        <v>16</v>
      </c>
      <c r="C21" s="43" t="s">
        <v>211</v>
      </c>
      <c r="D21" s="45">
        <v>40971373</v>
      </c>
      <c r="E21" s="18" t="s">
        <v>278</v>
      </c>
      <c r="F21" s="44">
        <v>48709141</v>
      </c>
      <c r="G21" s="18" t="s">
        <v>279</v>
      </c>
      <c r="H21" s="57">
        <v>70</v>
      </c>
      <c r="I21">
        <v>56</v>
      </c>
      <c r="J21">
        <v>28</v>
      </c>
      <c r="K21" s="8"/>
    </row>
    <row r="22" spans="2:11" x14ac:dyDescent="0.25">
      <c r="B22" s="1">
        <v>17</v>
      </c>
      <c r="C22" s="43" t="s">
        <v>212</v>
      </c>
      <c r="D22" s="45">
        <v>46500779</v>
      </c>
      <c r="E22" s="18" t="s">
        <v>280</v>
      </c>
      <c r="F22" s="44">
        <v>5935150</v>
      </c>
      <c r="G22" s="18" t="s">
        <v>281</v>
      </c>
      <c r="H22" s="57">
        <v>48</v>
      </c>
      <c r="I22">
        <v>38</v>
      </c>
      <c r="J22">
        <v>19</v>
      </c>
      <c r="K22" s="8"/>
    </row>
    <row r="23" spans="2:11" x14ac:dyDescent="0.25">
      <c r="B23" s="1">
        <v>18</v>
      </c>
      <c r="C23" s="43" t="s">
        <v>213</v>
      </c>
      <c r="D23" s="45">
        <v>73905271</v>
      </c>
      <c r="E23" s="18" t="s">
        <v>282</v>
      </c>
      <c r="F23" s="44">
        <v>77038623</v>
      </c>
      <c r="G23" s="18" t="s">
        <v>283</v>
      </c>
      <c r="H23" s="57">
        <v>55</v>
      </c>
      <c r="I23">
        <v>44</v>
      </c>
      <c r="J23">
        <v>22</v>
      </c>
      <c r="K23" s="8"/>
    </row>
    <row r="24" spans="2:11" x14ac:dyDescent="0.25">
      <c r="B24" s="1">
        <v>19</v>
      </c>
      <c r="C24" s="43" t="s">
        <v>214</v>
      </c>
      <c r="D24" s="45">
        <v>48405198</v>
      </c>
      <c r="E24" s="18" t="s">
        <v>284</v>
      </c>
      <c r="F24" s="44">
        <v>62719458</v>
      </c>
      <c r="G24" s="18" t="s">
        <v>285</v>
      </c>
      <c r="H24" s="57">
        <v>76</v>
      </c>
      <c r="I24">
        <v>60</v>
      </c>
      <c r="J24">
        <v>30</v>
      </c>
      <c r="K24" s="8"/>
    </row>
    <row r="25" spans="2:11" x14ac:dyDescent="0.25">
      <c r="B25" s="1">
        <v>20</v>
      </c>
      <c r="C25" s="43" t="s">
        <v>215</v>
      </c>
      <c r="D25" s="45"/>
      <c r="E25" s="18"/>
      <c r="F25" s="44"/>
      <c r="G25" s="18"/>
      <c r="H25" s="57">
        <v>40</v>
      </c>
      <c r="I25">
        <v>32</v>
      </c>
      <c r="J25">
        <v>16</v>
      </c>
      <c r="K25" s="8"/>
    </row>
    <row r="26" spans="2:11" x14ac:dyDescent="0.25">
      <c r="B26" s="1">
        <v>21</v>
      </c>
      <c r="C26" s="43" t="s">
        <v>216</v>
      </c>
      <c r="D26" s="45">
        <v>77061169</v>
      </c>
      <c r="E26" s="18" t="s">
        <v>286</v>
      </c>
      <c r="F26" s="44">
        <v>45112616</v>
      </c>
      <c r="G26" s="18" t="s">
        <v>287</v>
      </c>
      <c r="H26" s="57">
        <v>22</v>
      </c>
      <c r="I26">
        <v>17</v>
      </c>
      <c r="J26">
        <v>8</v>
      </c>
      <c r="K26" s="8"/>
    </row>
    <row r="27" spans="2:11" x14ac:dyDescent="0.25">
      <c r="B27" s="1">
        <v>22</v>
      </c>
      <c r="C27" s="43" t="s">
        <v>217</v>
      </c>
      <c r="D27" s="45">
        <v>75696731</v>
      </c>
      <c r="E27" s="18" t="s">
        <v>288</v>
      </c>
      <c r="F27" s="44">
        <v>46304052</v>
      </c>
      <c r="G27" s="18" t="s">
        <v>289</v>
      </c>
      <c r="H27" s="57">
        <v>44</v>
      </c>
      <c r="I27">
        <v>65</v>
      </c>
      <c r="J27">
        <v>32</v>
      </c>
    </row>
    <row r="28" spans="2:11" x14ac:dyDescent="0.25">
      <c r="B28" s="1">
        <v>23</v>
      </c>
      <c r="C28" s="43" t="s">
        <v>218</v>
      </c>
      <c r="D28" s="45">
        <v>5866341</v>
      </c>
      <c r="E28" s="18" t="s">
        <v>290</v>
      </c>
      <c r="F28" s="44">
        <v>77238636</v>
      </c>
      <c r="G28" s="18" t="s">
        <v>291</v>
      </c>
      <c r="H28" s="57">
        <v>45</v>
      </c>
      <c r="I28">
        <v>36</v>
      </c>
      <c r="J28">
        <v>18</v>
      </c>
    </row>
    <row r="29" spans="2:11" x14ac:dyDescent="0.25">
      <c r="B29" s="1">
        <v>24</v>
      </c>
      <c r="C29" s="43" t="s">
        <v>219</v>
      </c>
      <c r="D29" s="45">
        <v>70335091</v>
      </c>
      <c r="E29" s="18" t="s">
        <v>292</v>
      </c>
      <c r="F29" s="44">
        <v>72775099</v>
      </c>
      <c r="G29" s="18" t="s">
        <v>293</v>
      </c>
      <c r="H29" s="57">
        <v>40</v>
      </c>
      <c r="I29">
        <v>32</v>
      </c>
      <c r="J29">
        <v>16</v>
      </c>
    </row>
    <row r="30" spans="2:11" x14ac:dyDescent="0.25">
      <c r="B30" s="1">
        <v>25</v>
      </c>
      <c r="C30" s="43" t="s">
        <v>294</v>
      </c>
      <c r="D30" s="45">
        <v>45246497</v>
      </c>
      <c r="E30" s="18" t="s">
        <v>295</v>
      </c>
      <c r="F30" s="44">
        <v>45510548</v>
      </c>
      <c r="G30" s="18" t="s">
        <v>296</v>
      </c>
      <c r="H30" s="57">
        <v>35</v>
      </c>
      <c r="I30">
        <v>28</v>
      </c>
      <c r="J30">
        <v>14</v>
      </c>
    </row>
    <row r="31" spans="2:11" x14ac:dyDescent="0.25">
      <c r="B31" s="1">
        <v>26</v>
      </c>
      <c r="C31" s="43" t="s">
        <v>220</v>
      </c>
      <c r="D31" s="45">
        <v>75670123</v>
      </c>
      <c r="E31" s="18" t="s">
        <v>297</v>
      </c>
      <c r="F31" s="44">
        <v>80501223</v>
      </c>
      <c r="G31" s="18" t="s">
        <v>298</v>
      </c>
      <c r="H31" s="57">
        <v>46</v>
      </c>
      <c r="I31" s="58">
        <v>36</v>
      </c>
      <c r="J31" s="58">
        <v>18</v>
      </c>
    </row>
    <row r="32" spans="2:11" x14ac:dyDescent="0.25">
      <c r="B32" s="1">
        <v>27</v>
      </c>
      <c r="C32" s="43" t="s">
        <v>221</v>
      </c>
      <c r="D32" s="45">
        <v>74071097</v>
      </c>
      <c r="E32" s="18" t="s">
        <v>299</v>
      </c>
      <c r="F32" s="44">
        <v>45806184</v>
      </c>
      <c r="G32" s="18" t="s">
        <v>300</v>
      </c>
      <c r="H32" s="57">
        <v>32</v>
      </c>
      <c r="I32">
        <v>25</v>
      </c>
      <c r="J32">
        <v>12</v>
      </c>
    </row>
    <row r="33" spans="2:10" x14ac:dyDescent="0.25">
      <c r="B33" s="1">
        <v>28</v>
      </c>
      <c r="C33" s="43" t="s">
        <v>222</v>
      </c>
      <c r="D33" s="45">
        <v>77034847</v>
      </c>
      <c r="E33" s="18" t="s">
        <v>301</v>
      </c>
      <c r="F33" s="44">
        <v>62828346</v>
      </c>
      <c r="G33" s="18" t="s">
        <v>302</v>
      </c>
      <c r="H33" s="57">
        <v>54</v>
      </c>
      <c r="I33">
        <v>43</v>
      </c>
      <c r="J33">
        <v>21</v>
      </c>
    </row>
    <row r="34" spans="2:10" x14ac:dyDescent="0.25">
      <c r="B34" s="1">
        <v>29</v>
      </c>
      <c r="C34" s="43" t="s">
        <v>223</v>
      </c>
      <c r="D34" s="45">
        <v>71646288</v>
      </c>
      <c r="E34" s="18" t="s">
        <v>303</v>
      </c>
      <c r="F34" s="44">
        <v>43325997</v>
      </c>
      <c r="G34" s="18" t="s">
        <v>304</v>
      </c>
      <c r="H34" s="57">
        <v>56</v>
      </c>
      <c r="I34">
        <v>44</v>
      </c>
      <c r="J34">
        <v>22</v>
      </c>
    </row>
    <row r="35" spans="2:10" x14ac:dyDescent="0.25">
      <c r="B35" s="1">
        <v>30</v>
      </c>
      <c r="C35" s="43" t="s">
        <v>85</v>
      </c>
      <c r="D35" s="45">
        <v>42584191</v>
      </c>
      <c r="E35" s="18" t="s">
        <v>305</v>
      </c>
      <c r="F35" s="44">
        <v>70551429</v>
      </c>
      <c r="G35" s="18" t="s">
        <v>306</v>
      </c>
      <c r="H35" s="57">
        <v>25</v>
      </c>
      <c r="I35">
        <v>20</v>
      </c>
      <c r="J35">
        <v>10</v>
      </c>
    </row>
    <row r="36" spans="2:10" x14ac:dyDescent="0.25">
      <c r="B36" s="1">
        <v>31</v>
      </c>
      <c r="C36" s="43" t="s">
        <v>229</v>
      </c>
      <c r="D36" s="45"/>
      <c r="E36" s="18"/>
      <c r="F36" s="44"/>
      <c r="G36" s="18"/>
      <c r="H36" s="57">
        <v>50</v>
      </c>
      <c r="I36">
        <v>40</v>
      </c>
      <c r="J36">
        <v>20</v>
      </c>
    </row>
    <row r="37" spans="2:10" x14ac:dyDescent="0.25">
      <c r="B37" s="1">
        <v>32</v>
      </c>
      <c r="C37" s="43" t="s">
        <v>230</v>
      </c>
      <c r="D37" s="45"/>
      <c r="E37" s="18"/>
      <c r="F37" s="44"/>
      <c r="G37" s="18"/>
      <c r="H37" s="57">
        <v>40</v>
      </c>
      <c r="I37">
        <v>32</v>
      </c>
      <c r="J37">
        <v>16</v>
      </c>
    </row>
    <row r="38" spans="2:10" x14ac:dyDescent="0.25">
      <c r="B38" s="1">
        <v>33</v>
      </c>
      <c r="C38" s="43" t="s">
        <v>231</v>
      </c>
      <c r="D38" s="45">
        <v>41562951</v>
      </c>
      <c r="E38" s="18" t="s">
        <v>307</v>
      </c>
      <c r="F38" s="44">
        <v>47567832</v>
      </c>
      <c r="G38" s="18" t="s">
        <v>308</v>
      </c>
      <c r="H38" s="57">
        <v>28</v>
      </c>
      <c r="I38">
        <v>22</v>
      </c>
      <c r="J38">
        <v>11</v>
      </c>
    </row>
    <row r="39" spans="2:10" x14ac:dyDescent="0.25">
      <c r="B39" s="1">
        <v>34</v>
      </c>
      <c r="C39" s="43" t="s">
        <v>232</v>
      </c>
      <c r="D39" s="45">
        <v>5926279</v>
      </c>
      <c r="E39" s="18" t="s">
        <v>309</v>
      </c>
      <c r="F39" s="44">
        <v>41626241</v>
      </c>
      <c r="G39" s="18" t="s">
        <v>310</v>
      </c>
      <c r="H39" s="57">
        <v>42</v>
      </c>
      <c r="I39">
        <v>33</v>
      </c>
      <c r="J39">
        <v>16</v>
      </c>
    </row>
    <row r="40" spans="2:10" x14ac:dyDescent="0.25">
      <c r="B40" s="1">
        <v>35</v>
      </c>
      <c r="C40" s="43" t="s">
        <v>233</v>
      </c>
      <c r="D40" s="45">
        <v>5936800</v>
      </c>
      <c r="E40" s="18" t="s">
        <v>311</v>
      </c>
      <c r="F40" s="44">
        <v>48597742</v>
      </c>
      <c r="G40" s="18" t="s">
        <v>312</v>
      </c>
      <c r="H40" s="57">
        <v>70</v>
      </c>
      <c r="I40">
        <v>56</v>
      </c>
      <c r="J40">
        <v>28</v>
      </c>
    </row>
    <row r="41" spans="2:10" x14ac:dyDescent="0.25">
      <c r="B41" s="1">
        <v>36</v>
      </c>
      <c r="C41" s="43" t="s">
        <v>182</v>
      </c>
      <c r="D41" s="45">
        <v>77016409</v>
      </c>
      <c r="E41" s="18" t="s">
        <v>313</v>
      </c>
      <c r="F41" s="44">
        <v>47776413</v>
      </c>
      <c r="G41" s="18" t="s">
        <v>314</v>
      </c>
      <c r="H41" s="57">
        <v>45</v>
      </c>
      <c r="I41">
        <v>36</v>
      </c>
      <c r="J41">
        <v>18</v>
      </c>
    </row>
    <row r="42" spans="2:10" x14ac:dyDescent="0.25">
      <c r="B42" s="1">
        <v>37</v>
      </c>
      <c r="C42" s="43" t="s">
        <v>183</v>
      </c>
      <c r="D42" s="45">
        <v>45852326</v>
      </c>
      <c r="E42" s="18" t="s">
        <v>315</v>
      </c>
      <c r="F42" s="44">
        <v>5922962</v>
      </c>
      <c r="G42" s="18" t="s">
        <v>316</v>
      </c>
      <c r="H42" s="57">
        <v>43</v>
      </c>
      <c r="I42">
        <v>34</v>
      </c>
      <c r="J42">
        <v>17</v>
      </c>
    </row>
    <row r="43" spans="2:10" x14ac:dyDescent="0.25">
      <c r="B43" s="1">
        <v>38</v>
      </c>
      <c r="C43" s="43" t="s">
        <v>184</v>
      </c>
      <c r="D43" s="45">
        <v>46359770</v>
      </c>
      <c r="E43" s="18" t="s">
        <v>317</v>
      </c>
      <c r="F43" s="44">
        <v>5868951</v>
      </c>
      <c r="G43" s="18" t="s">
        <v>318</v>
      </c>
      <c r="H43" s="57">
        <v>42</v>
      </c>
      <c r="I43">
        <v>33</v>
      </c>
      <c r="J43">
        <v>16</v>
      </c>
    </row>
    <row r="44" spans="2:10" x14ac:dyDescent="0.25">
      <c r="B44" s="1">
        <v>39</v>
      </c>
      <c r="C44" s="43" t="s">
        <v>185</v>
      </c>
      <c r="D44" s="45">
        <v>46661514</v>
      </c>
      <c r="E44" s="18" t="s">
        <v>319</v>
      </c>
      <c r="F44" s="44">
        <v>44630073</v>
      </c>
      <c r="G44" s="18" t="s">
        <v>320</v>
      </c>
      <c r="H44" s="57">
        <v>108</v>
      </c>
      <c r="I44">
        <v>86</v>
      </c>
      <c r="J44">
        <v>43</v>
      </c>
    </row>
    <row r="45" spans="2:10" x14ac:dyDescent="0.25">
      <c r="B45" s="1">
        <v>40</v>
      </c>
      <c r="C45" s="43" t="s">
        <v>186</v>
      </c>
      <c r="D45" s="45">
        <v>76823124</v>
      </c>
      <c r="E45" s="18" t="s">
        <v>321</v>
      </c>
      <c r="F45" s="44">
        <v>44419162</v>
      </c>
      <c r="G45" s="18" t="s">
        <v>322</v>
      </c>
      <c r="H45" s="57">
        <v>52</v>
      </c>
      <c r="I45">
        <v>41</v>
      </c>
      <c r="J45">
        <v>20</v>
      </c>
    </row>
    <row r="46" spans="2:10" x14ac:dyDescent="0.25">
      <c r="B46" s="1">
        <v>41</v>
      </c>
      <c r="C46" s="43" t="s">
        <v>187</v>
      </c>
      <c r="D46" s="45">
        <v>42686653</v>
      </c>
      <c r="E46" s="18" t="s">
        <v>323</v>
      </c>
      <c r="F46" s="44">
        <v>49008689</v>
      </c>
      <c r="G46" s="18" t="s">
        <v>324</v>
      </c>
      <c r="H46" s="57">
        <v>34</v>
      </c>
      <c r="I46">
        <v>27</v>
      </c>
      <c r="J46">
        <v>13</v>
      </c>
    </row>
    <row r="47" spans="2:10" x14ac:dyDescent="0.25">
      <c r="B47" s="1">
        <v>42</v>
      </c>
      <c r="C47" s="43" t="s">
        <v>188</v>
      </c>
      <c r="D47" s="45">
        <v>43058325</v>
      </c>
      <c r="E47" s="18" t="s">
        <v>325</v>
      </c>
      <c r="F47" s="44">
        <v>43220828</v>
      </c>
      <c r="G47" s="18" t="s">
        <v>326</v>
      </c>
      <c r="H47" s="57">
        <v>45</v>
      </c>
      <c r="I47">
        <v>36</v>
      </c>
      <c r="J47">
        <v>18</v>
      </c>
    </row>
    <row r="48" spans="2:10" x14ac:dyDescent="0.25">
      <c r="B48" s="1">
        <v>43</v>
      </c>
      <c r="C48" s="43" t="s">
        <v>189</v>
      </c>
      <c r="D48" s="45">
        <v>48634655</v>
      </c>
      <c r="E48" s="18" t="s">
        <v>327</v>
      </c>
      <c r="F48" s="44">
        <v>47756823</v>
      </c>
      <c r="G48" s="18" t="s">
        <v>328</v>
      </c>
      <c r="H48" s="57">
        <v>41</v>
      </c>
      <c r="I48">
        <v>32</v>
      </c>
      <c r="J48">
        <v>16</v>
      </c>
    </row>
    <row r="49" spans="2:10" x14ac:dyDescent="0.25">
      <c r="B49" s="1">
        <v>44</v>
      </c>
      <c r="C49" s="43" t="s">
        <v>190</v>
      </c>
      <c r="D49" s="45"/>
      <c r="E49" s="18"/>
      <c r="F49" s="44"/>
      <c r="G49" s="18"/>
      <c r="H49" s="57">
        <v>55</v>
      </c>
      <c r="I49">
        <v>44</v>
      </c>
      <c r="J49">
        <v>22</v>
      </c>
    </row>
    <row r="50" spans="2:10" x14ac:dyDescent="0.25">
      <c r="B50" s="1">
        <v>45</v>
      </c>
      <c r="C50" s="43" t="s">
        <v>191</v>
      </c>
      <c r="D50" s="45">
        <v>45164125</v>
      </c>
      <c r="E50" s="18" t="s">
        <v>329</v>
      </c>
      <c r="F50" s="44">
        <v>74447845</v>
      </c>
      <c r="G50" s="18" t="s">
        <v>330</v>
      </c>
      <c r="H50" s="57">
        <v>31</v>
      </c>
      <c r="I50">
        <v>24</v>
      </c>
      <c r="J50">
        <v>12</v>
      </c>
    </row>
    <row r="51" spans="2:10" x14ac:dyDescent="0.25">
      <c r="B51" s="1">
        <v>46</v>
      </c>
      <c r="C51" s="43" t="s">
        <v>192</v>
      </c>
      <c r="D51" s="45">
        <v>44683497</v>
      </c>
      <c r="E51" s="18" t="s">
        <v>331</v>
      </c>
      <c r="F51" s="44">
        <v>41873042</v>
      </c>
      <c r="G51" s="18" t="s">
        <v>332</v>
      </c>
      <c r="H51" s="57">
        <v>33</v>
      </c>
      <c r="I51">
        <v>26</v>
      </c>
      <c r="J51">
        <v>13</v>
      </c>
    </row>
    <row r="52" spans="2:10" x14ac:dyDescent="0.25">
      <c r="B52" s="1">
        <v>47</v>
      </c>
      <c r="C52" s="43" t="s">
        <v>193</v>
      </c>
      <c r="D52" s="45">
        <v>45611125</v>
      </c>
      <c r="E52" s="18" t="s">
        <v>333</v>
      </c>
      <c r="F52" s="44">
        <v>73905236</v>
      </c>
      <c r="G52" s="18" t="s">
        <v>334</v>
      </c>
      <c r="H52" s="57">
        <v>37</v>
      </c>
      <c r="I52">
        <v>29</v>
      </c>
      <c r="J52">
        <v>14</v>
      </c>
    </row>
    <row r="53" spans="2:10" x14ac:dyDescent="0.25">
      <c r="B53" s="1">
        <v>48</v>
      </c>
      <c r="C53" s="43" t="s">
        <v>194</v>
      </c>
      <c r="D53" s="46">
        <v>42666437</v>
      </c>
      <c r="E53" s="54" t="s">
        <v>335</v>
      </c>
      <c r="F53" s="47">
        <v>5867823</v>
      </c>
      <c r="G53" s="48" t="s">
        <v>336</v>
      </c>
      <c r="H53" s="57">
        <v>46</v>
      </c>
      <c r="I53">
        <v>36</v>
      </c>
      <c r="J53">
        <v>18</v>
      </c>
    </row>
    <row r="54" spans="2:10" x14ac:dyDescent="0.25">
      <c r="B54" s="1">
        <v>49</v>
      </c>
      <c r="C54" s="43" t="s">
        <v>195</v>
      </c>
      <c r="D54" s="45">
        <v>45436652</v>
      </c>
      <c r="E54" s="18" t="s">
        <v>337</v>
      </c>
      <c r="F54" s="44">
        <v>41557494</v>
      </c>
      <c r="G54" s="18" t="s">
        <v>338</v>
      </c>
      <c r="H54" s="57">
        <v>31</v>
      </c>
      <c r="I54">
        <v>24</v>
      </c>
      <c r="J54">
        <v>12</v>
      </c>
    </row>
    <row r="55" spans="2:10" x14ac:dyDescent="0.25">
      <c r="B55" s="1">
        <v>50</v>
      </c>
      <c r="C55" s="43" t="s">
        <v>196</v>
      </c>
      <c r="D55" s="45">
        <v>46552822</v>
      </c>
      <c r="E55" s="18" t="s">
        <v>339</v>
      </c>
      <c r="F55" s="44">
        <v>62889029</v>
      </c>
      <c r="G55" s="18" t="s">
        <v>340</v>
      </c>
      <c r="H55" s="57">
        <v>50</v>
      </c>
      <c r="I55">
        <v>40</v>
      </c>
      <c r="J55">
        <v>20</v>
      </c>
    </row>
    <row r="56" spans="2:10" x14ac:dyDescent="0.25">
      <c r="B56" s="1">
        <v>51</v>
      </c>
      <c r="C56" s="43" t="s">
        <v>197</v>
      </c>
      <c r="D56" s="45">
        <v>70551404</v>
      </c>
      <c r="E56" s="18" t="s">
        <v>341</v>
      </c>
      <c r="F56" s="44">
        <v>61353192</v>
      </c>
      <c r="G56" s="18" t="s">
        <v>342</v>
      </c>
      <c r="H56" s="57">
        <v>22</v>
      </c>
      <c r="I56">
        <v>17</v>
      </c>
      <c r="J56">
        <v>8</v>
      </c>
    </row>
    <row r="57" spans="2:10" x14ac:dyDescent="0.25">
      <c r="B57" s="1">
        <v>52</v>
      </c>
      <c r="C57" s="43" t="s">
        <v>198</v>
      </c>
      <c r="D57" s="45">
        <v>47336203</v>
      </c>
      <c r="E57" s="18" t="s">
        <v>343</v>
      </c>
      <c r="F57" s="44">
        <v>61353401</v>
      </c>
      <c r="G57" s="18" t="s">
        <v>344</v>
      </c>
      <c r="H57" s="57">
        <v>23</v>
      </c>
      <c r="I57">
        <v>18</v>
      </c>
      <c r="J57">
        <v>9</v>
      </c>
    </row>
    <row r="58" spans="2:10" x14ac:dyDescent="0.25">
      <c r="B58" s="1">
        <v>53</v>
      </c>
      <c r="C58" s="43" t="s">
        <v>199</v>
      </c>
      <c r="D58" s="45"/>
      <c r="E58" s="18"/>
      <c r="F58" s="44"/>
      <c r="G58" s="18"/>
      <c r="H58" s="57">
        <v>50</v>
      </c>
      <c r="I58">
        <v>40</v>
      </c>
      <c r="J58">
        <v>20</v>
      </c>
    </row>
    <row r="59" spans="2:10" x14ac:dyDescent="0.25">
      <c r="B59" s="1">
        <v>54</v>
      </c>
      <c r="C59" s="43" t="s">
        <v>200</v>
      </c>
      <c r="D59" s="45">
        <v>42053667</v>
      </c>
      <c r="E59" s="18" t="s">
        <v>345</v>
      </c>
      <c r="F59" s="44">
        <v>45737873</v>
      </c>
      <c r="G59" s="18" t="s">
        <v>346</v>
      </c>
      <c r="H59" s="57">
        <v>38</v>
      </c>
      <c r="I59">
        <v>30</v>
      </c>
      <c r="J59">
        <v>15</v>
      </c>
    </row>
    <row r="60" spans="2:10" x14ac:dyDescent="0.25">
      <c r="B60" s="1">
        <v>55</v>
      </c>
      <c r="C60" s="43" t="s">
        <v>201</v>
      </c>
      <c r="D60" s="45">
        <v>40210849</v>
      </c>
      <c r="E60" s="18" t="s">
        <v>347</v>
      </c>
      <c r="F60" s="44">
        <v>77057307</v>
      </c>
      <c r="G60" s="18" t="s">
        <v>348</v>
      </c>
      <c r="H60" s="57">
        <v>30</v>
      </c>
      <c r="I60">
        <v>24</v>
      </c>
      <c r="J60">
        <v>12</v>
      </c>
    </row>
    <row r="61" spans="2:10" x14ac:dyDescent="0.25">
      <c r="B61" s="1">
        <v>56</v>
      </c>
      <c r="C61" s="43" t="s">
        <v>202</v>
      </c>
      <c r="D61" s="45">
        <v>76313863</v>
      </c>
      <c r="E61" s="18" t="s">
        <v>349</v>
      </c>
      <c r="F61" s="44">
        <v>63423441</v>
      </c>
      <c r="G61" s="18" t="s">
        <v>350</v>
      </c>
      <c r="H61" s="57">
        <v>36</v>
      </c>
      <c r="I61">
        <v>28</v>
      </c>
      <c r="J61">
        <v>14</v>
      </c>
    </row>
    <row r="62" spans="2:10" x14ac:dyDescent="0.25">
      <c r="B62" s="1">
        <v>57</v>
      </c>
      <c r="C62" s="43" t="s">
        <v>203</v>
      </c>
      <c r="D62" s="45">
        <v>47936560</v>
      </c>
      <c r="E62" s="18" t="s">
        <v>351</v>
      </c>
      <c r="F62" s="44">
        <v>75696722</v>
      </c>
      <c r="G62" s="18" t="s">
        <v>352</v>
      </c>
      <c r="H62" s="57">
        <v>52</v>
      </c>
      <c r="I62">
        <v>41</v>
      </c>
      <c r="J62">
        <v>20</v>
      </c>
    </row>
    <row r="63" spans="2:10" x14ac:dyDescent="0.25">
      <c r="B63" s="1">
        <v>58</v>
      </c>
      <c r="C63" s="43" t="s">
        <v>204</v>
      </c>
      <c r="D63" s="45">
        <v>48784454</v>
      </c>
      <c r="E63" s="18" t="s">
        <v>353</v>
      </c>
      <c r="F63" s="44">
        <v>63249377</v>
      </c>
      <c r="G63" s="18" t="s">
        <v>354</v>
      </c>
      <c r="H63" s="57">
        <v>50</v>
      </c>
      <c r="I63">
        <v>40</v>
      </c>
      <c r="J63">
        <v>20</v>
      </c>
    </row>
    <row r="64" spans="2:10" x14ac:dyDescent="0.25">
      <c r="B64" s="1">
        <v>59</v>
      </c>
      <c r="C64" s="43" t="s">
        <v>8</v>
      </c>
      <c r="D64" s="45">
        <v>5868354</v>
      </c>
      <c r="E64" s="18" t="s">
        <v>86</v>
      </c>
      <c r="F64" s="44">
        <v>62250623</v>
      </c>
      <c r="G64" s="18" t="s">
        <v>87</v>
      </c>
      <c r="H64" s="57">
        <v>35</v>
      </c>
      <c r="I64">
        <v>28</v>
      </c>
      <c r="J64">
        <v>14</v>
      </c>
    </row>
    <row r="65" spans="2:10" x14ac:dyDescent="0.25">
      <c r="B65" s="1">
        <v>60</v>
      </c>
      <c r="C65" s="43" t="s">
        <v>80</v>
      </c>
      <c r="D65" s="45">
        <v>77055633</v>
      </c>
      <c r="E65" s="18" t="s">
        <v>88</v>
      </c>
      <c r="F65" s="44">
        <v>46947914</v>
      </c>
      <c r="G65" s="18" t="s">
        <v>89</v>
      </c>
      <c r="H65" s="57">
        <v>35</v>
      </c>
      <c r="I65">
        <v>28</v>
      </c>
      <c r="J65">
        <v>14</v>
      </c>
    </row>
    <row r="66" spans="2:10" x14ac:dyDescent="0.25">
      <c r="B66" s="1">
        <v>61</v>
      </c>
      <c r="C66" s="43" t="s">
        <v>0</v>
      </c>
      <c r="D66" s="45">
        <v>40259073</v>
      </c>
      <c r="E66" s="18" t="s">
        <v>90</v>
      </c>
      <c r="F66" s="44">
        <v>47475963</v>
      </c>
      <c r="G66" s="18" t="s">
        <v>91</v>
      </c>
      <c r="H66" s="57">
        <v>39</v>
      </c>
      <c r="I66">
        <v>31</v>
      </c>
      <c r="J66">
        <v>15</v>
      </c>
    </row>
    <row r="67" spans="2:10" x14ac:dyDescent="0.25">
      <c r="B67" s="1">
        <v>62</v>
      </c>
      <c r="C67" s="1" t="s">
        <v>248</v>
      </c>
      <c r="D67" s="45"/>
      <c r="E67" s="18"/>
      <c r="F67" s="44"/>
      <c r="G67" s="18"/>
      <c r="H67" s="57">
        <v>16</v>
      </c>
      <c r="I67">
        <v>12</v>
      </c>
      <c r="J67">
        <v>6</v>
      </c>
    </row>
    <row r="68" spans="2:10" x14ac:dyDescent="0.25">
      <c r="B68" s="1">
        <v>63</v>
      </c>
      <c r="C68" s="43" t="s">
        <v>53</v>
      </c>
      <c r="D68" s="45">
        <v>45218482</v>
      </c>
      <c r="E68" s="18" t="s">
        <v>92</v>
      </c>
      <c r="F68" s="44">
        <v>45246478</v>
      </c>
      <c r="G68" s="18" t="s">
        <v>93</v>
      </c>
      <c r="H68" s="57">
        <v>131</v>
      </c>
      <c r="I68">
        <v>104</v>
      </c>
      <c r="J68">
        <v>52</v>
      </c>
    </row>
    <row r="69" spans="2:10" x14ac:dyDescent="0.25">
      <c r="B69" s="1">
        <v>64</v>
      </c>
      <c r="C69" s="43" t="s">
        <v>6</v>
      </c>
      <c r="D69" s="45">
        <v>76952763</v>
      </c>
      <c r="E69" s="18" t="s">
        <v>94</v>
      </c>
      <c r="F69" s="44">
        <v>47184127</v>
      </c>
      <c r="G69" s="18" t="s">
        <v>95</v>
      </c>
      <c r="H69" s="57">
        <v>20</v>
      </c>
      <c r="I69">
        <v>16</v>
      </c>
      <c r="J69">
        <v>8</v>
      </c>
    </row>
    <row r="70" spans="2:10" x14ac:dyDescent="0.25">
      <c r="B70" s="1">
        <v>65</v>
      </c>
      <c r="C70" s="43" t="s">
        <v>2</v>
      </c>
      <c r="D70" s="45">
        <v>47155293</v>
      </c>
      <c r="E70" s="18" t="s">
        <v>96</v>
      </c>
      <c r="F70" s="44">
        <v>43057450</v>
      </c>
      <c r="G70" s="18" t="s">
        <v>97</v>
      </c>
      <c r="H70" s="57">
        <v>49</v>
      </c>
      <c r="I70">
        <v>39</v>
      </c>
      <c r="J70">
        <v>19</v>
      </c>
    </row>
    <row r="71" spans="2:10" x14ac:dyDescent="0.25">
      <c r="B71" s="1">
        <v>66</v>
      </c>
      <c r="C71" s="43" t="s">
        <v>4</v>
      </c>
      <c r="D71" s="45">
        <v>79217033</v>
      </c>
      <c r="E71" s="18" t="s">
        <v>98</v>
      </c>
      <c r="F71" s="44">
        <v>44039571</v>
      </c>
      <c r="G71" s="18" t="s">
        <v>99</v>
      </c>
      <c r="H71" s="57">
        <v>37</v>
      </c>
      <c r="I71">
        <v>29</v>
      </c>
      <c r="J71">
        <v>14</v>
      </c>
    </row>
    <row r="72" spans="2:10" x14ac:dyDescent="0.25">
      <c r="B72" s="1">
        <v>67</v>
      </c>
      <c r="C72" s="43" t="s">
        <v>81</v>
      </c>
      <c r="D72" s="45">
        <v>60900224</v>
      </c>
      <c r="E72" s="18" t="s">
        <v>100</v>
      </c>
      <c r="F72" s="44">
        <v>62399994</v>
      </c>
      <c r="G72" s="18" t="s">
        <v>101</v>
      </c>
      <c r="H72" s="57">
        <v>18</v>
      </c>
      <c r="I72">
        <v>14</v>
      </c>
      <c r="J72">
        <v>7</v>
      </c>
    </row>
    <row r="73" spans="2:10" x14ac:dyDescent="0.25">
      <c r="B73" s="1">
        <v>68</v>
      </c>
      <c r="C73" s="43" t="s">
        <v>11</v>
      </c>
      <c r="D73" s="45">
        <v>45089686</v>
      </c>
      <c r="E73" s="18" t="s">
        <v>102</v>
      </c>
      <c r="F73" s="44">
        <v>99279</v>
      </c>
      <c r="G73" s="18" t="s">
        <v>103</v>
      </c>
      <c r="H73" s="57">
        <v>34</v>
      </c>
      <c r="I73">
        <v>27</v>
      </c>
      <c r="J73">
        <v>13</v>
      </c>
    </row>
    <row r="74" spans="2:10" x14ac:dyDescent="0.25">
      <c r="B74" s="1">
        <v>69</v>
      </c>
      <c r="C74" s="43" t="s">
        <v>82</v>
      </c>
      <c r="D74" s="45">
        <v>5867463</v>
      </c>
      <c r="E74" s="18" t="s">
        <v>104</v>
      </c>
      <c r="F74" s="44">
        <v>49014294</v>
      </c>
      <c r="G74" s="18" t="s">
        <v>105</v>
      </c>
      <c r="H74" s="57">
        <v>27</v>
      </c>
      <c r="I74">
        <v>21</v>
      </c>
      <c r="J74">
        <v>10</v>
      </c>
    </row>
    <row r="75" spans="2:10" x14ac:dyDescent="0.25">
      <c r="B75" s="1">
        <v>70</v>
      </c>
      <c r="C75" s="43" t="s">
        <v>10</v>
      </c>
      <c r="D75" s="45">
        <v>77270824</v>
      </c>
      <c r="E75" s="18" t="s">
        <v>106</v>
      </c>
      <c r="F75" s="44">
        <v>44343423</v>
      </c>
      <c r="G75" s="18" t="s">
        <v>107</v>
      </c>
      <c r="H75" s="57">
        <v>23</v>
      </c>
      <c r="I75">
        <v>18</v>
      </c>
      <c r="J75">
        <v>9</v>
      </c>
    </row>
    <row r="76" spans="2:10" x14ac:dyDescent="0.25">
      <c r="B76" s="1">
        <v>71</v>
      </c>
      <c r="C76" s="43" t="s">
        <v>5</v>
      </c>
      <c r="D76" s="45">
        <v>77033183</v>
      </c>
      <c r="E76" s="18" t="s">
        <v>108</v>
      </c>
      <c r="F76" s="44">
        <v>77035243</v>
      </c>
      <c r="G76" s="18" t="s">
        <v>109</v>
      </c>
      <c r="H76" s="57">
        <v>58</v>
      </c>
      <c r="I76">
        <v>46</v>
      </c>
      <c r="J76">
        <v>23</v>
      </c>
    </row>
    <row r="77" spans="2:10" x14ac:dyDescent="0.25">
      <c r="B77" s="1">
        <v>72</v>
      </c>
      <c r="C77" s="43" t="s">
        <v>7</v>
      </c>
      <c r="D77" s="45"/>
      <c r="E77" s="18"/>
      <c r="F77" s="44"/>
      <c r="G77" s="18"/>
      <c r="H77" s="57">
        <v>33</v>
      </c>
      <c r="I77">
        <v>26</v>
      </c>
      <c r="J77">
        <v>13</v>
      </c>
    </row>
    <row r="78" spans="2:10" x14ac:dyDescent="0.25">
      <c r="B78" s="1">
        <v>73</v>
      </c>
      <c r="C78" s="43" t="s">
        <v>1</v>
      </c>
      <c r="D78" s="45">
        <v>48914996</v>
      </c>
      <c r="E78" s="18" t="s">
        <v>110</v>
      </c>
      <c r="F78" s="44">
        <v>63206385</v>
      </c>
      <c r="G78" s="18" t="s">
        <v>111</v>
      </c>
      <c r="H78" s="57">
        <v>55</v>
      </c>
      <c r="I78">
        <v>44</v>
      </c>
      <c r="J78">
        <v>22</v>
      </c>
    </row>
    <row r="79" spans="2:10" x14ac:dyDescent="0.25">
      <c r="B79" s="1">
        <v>74</v>
      </c>
      <c r="C79" s="43" t="s">
        <v>3</v>
      </c>
      <c r="D79" s="45">
        <v>80659615</v>
      </c>
      <c r="E79" s="18" t="s">
        <v>112</v>
      </c>
      <c r="F79" s="44">
        <v>44331918</v>
      </c>
      <c r="G79" s="18" t="s">
        <v>113</v>
      </c>
      <c r="H79" s="57">
        <v>32</v>
      </c>
      <c r="I79">
        <v>25</v>
      </c>
      <c r="J79">
        <v>12</v>
      </c>
    </row>
    <row r="80" spans="2:10" x14ac:dyDescent="0.25">
      <c r="B80" s="1">
        <v>75</v>
      </c>
      <c r="C80" s="43" t="s">
        <v>12</v>
      </c>
      <c r="D80" s="45">
        <v>48153224</v>
      </c>
      <c r="E80" s="18" t="s">
        <v>114</v>
      </c>
      <c r="F80" s="44">
        <v>41274687</v>
      </c>
      <c r="G80" s="18" t="s">
        <v>115</v>
      </c>
      <c r="H80" s="57">
        <v>31</v>
      </c>
      <c r="I80">
        <v>24</v>
      </c>
      <c r="J80">
        <v>12</v>
      </c>
    </row>
    <row r="81" spans="2:10" x14ac:dyDescent="0.25">
      <c r="B81" s="1">
        <v>76</v>
      </c>
      <c r="C81" s="43" t="s">
        <v>51</v>
      </c>
      <c r="D81" s="45"/>
      <c r="E81" s="18"/>
      <c r="F81" s="44"/>
      <c r="G81" s="18"/>
      <c r="H81" s="57">
        <v>71</v>
      </c>
      <c r="I81">
        <v>56</v>
      </c>
      <c r="J81">
        <v>28</v>
      </c>
    </row>
    <row r="82" spans="2:10" x14ac:dyDescent="0.25">
      <c r="B82" s="1">
        <v>77</v>
      </c>
      <c r="C82" s="43" t="s">
        <v>13</v>
      </c>
      <c r="D82" s="45">
        <v>48412630</v>
      </c>
      <c r="E82" s="18" t="s">
        <v>116</v>
      </c>
      <c r="F82" s="44">
        <v>48737027</v>
      </c>
      <c r="G82" s="18" t="s">
        <v>117</v>
      </c>
      <c r="H82" s="57">
        <v>29</v>
      </c>
      <c r="I82">
        <v>23</v>
      </c>
      <c r="J82">
        <v>11</v>
      </c>
    </row>
    <row r="83" spans="2:10" x14ac:dyDescent="0.25">
      <c r="B83" s="1">
        <v>78</v>
      </c>
      <c r="C83" s="43" t="s">
        <v>9</v>
      </c>
      <c r="D83" s="45">
        <v>43254860</v>
      </c>
      <c r="E83" s="18" t="s">
        <v>118</v>
      </c>
      <c r="F83" s="44">
        <v>63268025</v>
      </c>
      <c r="G83" s="18" t="s">
        <v>119</v>
      </c>
      <c r="H83" s="57">
        <v>34</v>
      </c>
      <c r="I83">
        <v>27</v>
      </c>
      <c r="J83">
        <v>13</v>
      </c>
    </row>
    <row r="84" spans="2:10" x14ac:dyDescent="0.25">
      <c r="B84" s="1">
        <v>79</v>
      </c>
      <c r="C84" s="43" t="s">
        <v>14</v>
      </c>
      <c r="D84" s="45">
        <v>42977041</v>
      </c>
      <c r="E84" s="18" t="s">
        <v>120</v>
      </c>
      <c r="F84" s="44">
        <v>80484565</v>
      </c>
      <c r="G84" s="18" t="s">
        <v>121</v>
      </c>
      <c r="H84" s="57">
        <v>47</v>
      </c>
      <c r="I84">
        <v>37</v>
      </c>
      <c r="J84">
        <v>18</v>
      </c>
    </row>
    <row r="85" spans="2:10" x14ac:dyDescent="0.25">
      <c r="B85" s="1">
        <v>80</v>
      </c>
      <c r="C85" s="43" t="s">
        <v>15</v>
      </c>
      <c r="D85" s="45">
        <v>77032178</v>
      </c>
      <c r="E85" s="18" t="s">
        <v>122</v>
      </c>
      <c r="F85" s="44">
        <v>5925892</v>
      </c>
      <c r="G85" s="18" t="s">
        <v>123</v>
      </c>
      <c r="H85" s="57">
        <v>44</v>
      </c>
      <c r="I85">
        <v>35</v>
      </c>
      <c r="J85">
        <v>17</v>
      </c>
    </row>
    <row r="86" spans="2:10" x14ac:dyDescent="0.25">
      <c r="B86" s="1">
        <v>81</v>
      </c>
      <c r="C86" s="43" t="s">
        <v>16</v>
      </c>
      <c r="D86" s="45"/>
      <c r="E86" s="18"/>
      <c r="F86" s="44"/>
      <c r="G86" s="18"/>
      <c r="H86" s="57">
        <v>24</v>
      </c>
      <c r="I86">
        <v>19</v>
      </c>
      <c r="J86">
        <v>9</v>
      </c>
    </row>
    <row r="87" spans="2:10" x14ac:dyDescent="0.25">
      <c r="B87" s="1">
        <v>82</v>
      </c>
      <c r="C87" s="43" t="s">
        <v>17</v>
      </c>
      <c r="D87" s="45">
        <v>48819821</v>
      </c>
      <c r="E87" s="18" t="s">
        <v>124</v>
      </c>
      <c r="F87" s="44">
        <v>63032307</v>
      </c>
      <c r="G87" s="18" t="s">
        <v>125</v>
      </c>
      <c r="H87" s="57">
        <v>28</v>
      </c>
      <c r="I87">
        <v>22</v>
      </c>
      <c r="J87">
        <v>11</v>
      </c>
    </row>
    <row r="88" spans="2:10" x14ac:dyDescent="0.25">
      <c r="B88" s="1">
        <v>83</v>
      </c>
      <c r="C88" s="43" t="s">
        <v>18</v>
      </c>
      <c r="D88" s="45">
        <v>43913389</v>
      </c>
      <c r="E88" s="18" t="s">
        <v>126</v>
      </c>
      <c r="F88" s="44">
        <v>46574596</v>
      </c>
      <c r="G88" s="18" t="s">
        <v>127</v>
      </c>
      <c r="H88" s="57">
        <v>64</v>
      </c>
      <c r="I88">
        <v>51</v>
      </c>
      <c r="J88">
        <v>25</v>
      </c>
    </row>
    <row r="89" spans="2:10" x14ac:dyDescent="0.25">
      <c r="B89" s="1">
        <v>84</v>
      </c>
      <c r="C89" s="43" t="s">
        <v>19</v>
      </c>
      <c r="D89" s="45">
        <v>44067683</v>
      </c>
      <c r="E89" s="18" t="s">
        <v>128</v>
      </c>
      <c r="F89" s="44">
        <v>48361262</v>
      </c>
      <c r="G89" s="18" t="s">
        <v>129</v>
      </c>
      <c r="H89" s="57">
        <v>52</v>
      </c>
      <c r="I89">
        <v>41</v>
      </c>
      <c r="J89">
        <v>20</v>
      </c>
    </row>
    <row r="90" spans="2:10" x14ac:dyDescent="0.25">
      <c r="B90" s="1">
        <v>85</v>
      </c>
      <c r="C90" s="43" t="s">
        <v>20</v>
      </c>
      <c r="D90" s="45"/>
      <c r="E90" s="18"/>
      <c r="F90" s="44"/>
      <c r="G90" s="18"/>
      <c r="H90" s="57">
        <v>59</v>
      </c>
      <c r="I90">
        <v>47</v>
      </c>
      <c r="J90">
        <v>23</v>
      </c>
    </row>
    <row r="91" spans="2:10" x14ac:dyDescent="0.25">
      <c r="B91" s="1">
        <v>86</v>
      </c>
      <c r="C91" s="43" t="s">
        <v>21</v>
      </c>
      <c r="D91" s="45"/>
      <c r="E91" s="18"/>
      <c r="F91" s="44"/>
      <c r="G91" s="18"/>
      <c r="H91" s="57">
        <v>42</v>
      </c>
      <c r="I91">
        <v>33</v>
      </c>
      <c r="J91">
        <v>16</v>
      </c>
    </row>
    <row r="92" spans="2:10" x14ac:dyDescent="0.25">
      <c r="B92" s="1">
        <v>87</v>
      </c>
      <c r="C92" s="43" t="s">
        <v>22</v>
      </c>
      <c r="D92" s="45">
        <v>76195828</v>
      </c>
      <c r="E92" s="18" t="s">
        <v>130</v>
      </c>
      <c r="F92" s="44">
        <v>77025147</v>
      </c>
      <c r="G92" s="18" t="s">
        <v>131</v>
      </c>
      <c r="H92" s="57">
        <v>49</v>
      </c>
      <c r="I92">
        <v>39</v>
      </c>
      <c r="J92">
        <v>19</v>
      </c>
    </row>
    <row r="93" spans="2:10" x14ac:dyDescent="0.25">
      <c r="B93" s="1">
        <v>88</v>
      </c>
      <c r="C93" s="43" t="s">
        <v>23</v>
      </c>
      <c r="D93" s="45">
        <v>47365579</v>
      </c>
      <c r="E93" s="18" t="s">
        <v>132</v>
      </c>
      <c r="F93" s="44">
        <v>48706467</v>
      </c>
      <c r="G93" s="18" t="s">
        <v>133</v>
      </c>
      <c r="H93" s="57">
        <v>60</v>
      </c>
      <c r="I93">
        <v>48</v>
      </c>
      <c r="J93">
        <v>24</v>
      </c>
    </row>
    <row r="94" spans="2:10" x14ac:dyDescent="0.25">
      <c r="B94" s="1">
        <v>89</v>
      </c>
      <c r="C94" s="43" t="s">
        <v>29</v>
      </c>
      <c r="D94" s="45">
        <v>48201673</v>
      </c>
      <c r="E94" s="18" t="s">
        <v>134</v>
      </c>
      <c r="F94" s="44">
        <v>45213390</v>
      </c>
      <c r="G94" s="18" t="s">
        <v>135</v>
      </c>
      <c r="H94" s="57">
        <v>21</v>
      </c>
      <c r="I94">
        <v>16</v>
      </c>
      <c r="J94">
        <v>8</v>
      </c>
    </row>
    <row r="95" spans="2:10" x14ac:dyDescent="0.25">
      <c r="B95" s="1">
        <v>90</v>
      </c>
      <c r="C95" s="43" t="s">
        <v>24</v>
      </c>
      <c r="D95" s="45">
        <v>76202088</v>
      </c>
      <c r="E95" s="18" t="s">
        <v>136</v>
      </c>
      <c r="F95" s="44">
        <v>63398437</v>
      </c>
      <c r="G95" s="18" t="s">
        <v>137</v>
      </c>
      <c r="H95" s="57">
        <v>65</v>
      </c>
      <c r="I95">
        <v>52</v>
      </c>
      <c r="J95">
        <v>26</v>
      </c>
    </row>
    <row r="96" spans="2:10" x14ac:dyDescent="0.25">
      <c r="B96" s="1">
        <v>91</v>
      </c>
      <c r="C96" s="43" t="s">
        <v>25</v>
      </c>
      <c r="D96" s="45"/>
      <c r="E96" s="18"/>
      <c r="F96" s="44"/>
      <c r="G96" s="18"/>
      <c r="H96" s="57">
        <v>72</v>
      </c>
      <c r="I96">
        <v>64</v>
      </c>
      <c r="J96">
        <v>32</v>
      </c>
    </row>
    <row r="97" spans="2:10" x14ac:dyDescent="0.25">
      <c r="B97" s="1">
        <v>92</v>
      </c>
      <c r="C97" s="43" t="s">
        <v>26</v>
      </c>
      <c r="D97" s="45">
        <v>21141251</v>
      </c>
      <c r="E97" s="18" t="s">
        <v>138</v>
      </c>
      <c r="F97" s="44">
        <v>49061613</v>
      </c>
      <c r="G97" s="18" t="s">
        <v>139</v>
      </c>
      <c r="H97" s="57">
        <v>26</v>
      </c>
      <c r="I97">
        <v>20</v>
      </c>
      <c r="J97">
        <v>10</v>
      </c>
    </row>
    <row r="98" spans="2:10" x14ac:dyDescent="0.25">
      <c r="B98" s="1">
        <v>93</v>
      </c>
      <c r="C98" s="43" t="s">
        <v>27</v>
      </c>
      <c r="D98" s="45">
        <v>77918327</v>
      </c>
      <c r="E98" s="18" t="s">
        <v>140</v>
      </c>
      <c r="F98" s="44">
        <v>5923454</v>
      </c>
      <c r="G98" s="18" t="s">
        <v>141</v>
      </c>
      <c r="H98" s="57">
        <v>33</v>
      </c>
      <c r="I98">
        <v>26</v>
      </c>
      <c r="J98">
        <v>13</v>
      </c>
    </row>
    <row r="99" spans="2:10" x14ac:dyDescent="0.25">
      <c r="B99" s="1">
        <v>94</v>
      </c>
      <c r="C99" s="43" t="s">
        <v>28</v>
      </c>
      <c r="D99" s="45">
        <v>47733973</v>
      </c>
      <c r="E99" s="18" t="s">
        <v>142</v>
      </c>
      <c r="F99" s="44">
        <v>47752016</v>
      </c>
      <c r="G99" s="18" t="s">
        <v>143</v>
      </c>
      <c r="H99" s="57">
        <v>31</v>
      </c>
      <c r="I99">
        <v>24</v>
      </c>
      <c r="J99">
        <v>12</v>
      </c>
    </row>
    <row r="100" spans="2:10" x14ac:dyDescent="0.25">
      <c r="B100" s="1">
        <v>95</v>
      </c>
      <c r="C100" s="43" t="s">
        <v>30</v>
      </c>
      <c r="D100" s="45">
        <v>45743959</v>
      </c>
      <c r="E100" s="18" t="s">
        <v>144</v>
      </c>
      <c r="F100" s="44">
        <v>41480997</v>
      </c>
      <c r="G100" s="18" t="s">
        <v>145</v>
      </c>
      <c r="H100" s="57">
        <v>53</v>
      </c>
      <c r="I100">
        <v>42</v>
      </c>
      <c r="J100">
        <v>21</v>
      </c>
    </row>
    <row r="101" spans="2:10" x14ac:dyDescent="0.25">
      <c r="B101" s="1">
        <v>96</v>
      </c>
      <c r="C101" s="43" t="s">
        <v>52</v>
      </c>
      <c r="D101" s="45">
        <v>46903337</v>
      </c>
      <c r="E101" s="18" t="s">
        <v>146</v>
      </c>
      <c r="F101" s="44">
        <v>46903359</v>
      </c>
      <c r="G101" s="18" t="s">
        <v>147</v>
      </c>
      <c r="H101" s="57">
        <v>43</v>
      </c>
      <c r="I101">
        <v>34</v>
      </c>
      <c r="J101">
        <v>17</v>
      </c>
    </row>
    <row r="102" spans="2:10" x14ac:dyDescent="0.25">
      <c r="B102" s="1">
        <v>97</v>
      </c>
      <c r="C102" s="43" t="s">
        <v>31</v>
      </c>
      <c r="D102" s="45">
        <v>45713906</v>
      </c>
      <c r="E102" s="18" t="s">
        <v>148</v>
      </c>
      <c r="F102" s="44">
        <v>48030820</v>
      </c>
      <c r="G102" s="18" t="s">
        <v>149</v>
      </c>
      <c r="H102" s="57">
        <v>189</v>
      </c>
      <c r="I102">
        <v>144</v>
      </c>
      <c r="J102">
        <v>65</v>
      </c>
    </row>
    <row r="103" spans="2:10" x14ac:dyDescent="0.25">
      <c r="B103" s="1">
        <v>98</v>
      </c>
      <c r="C103" s="43" t="s">
        <v>32</v>
      </c>
      <c r="D103" s="45">
        <v>61951673</v>
      </c>
      <c r="E103" s="18" t="s">
        <v>150</v>
      </c>
      <c r="F103" s="44">
        <v>48489512</v>
      </c>
      <c r="G103" s="18" t="s">
        <v>151</v>
      </c>
      <c r="H103" s="57">
        <v>77</v>
      </c>
      <c r="I103">
        <v>61</v>
      </c>
      <c r="J103">
        <v>29</v>
      </c>
    </row>
    <row r="104" spans="2:10" x14ac:dyDescent="0.25">
      <c r="B104" s="1">
        <v>99</v>
      </c>
      <c r="C104" s="43" t="s">
        <v>33</v>
      </c>
      <c r="D104" s="45">
        <v>629194</v>
      </c>
      <c r="E104" s="18" t="s">
        <v>152</v>
      </c>
      <c r="F104" s="44">
        <v>75279272</v>
      </c>
      <c r="G104" s="18" t="s">
        <v>153</v>
      </c>
      <c r="H104" s="57">
        <v>60</v>
      </c>
      <c r="I104">
        <v>48</v>
      </c>
      <c r="J104">
        <v>24</v>
      </c>
    </row>
    <row r="105" spans="2:10" x14ac:dyDescent="0.25">
      <c r="B105" s="1">
        <v>100</v>
      </c>
      <c r="C105" s="43" t="s">
        <v>34</v>
      </c>
      <c r="D105" s="45">
        <v>47495472</v>
      </c>
      <c r="E105" s="18" t="s">
        <v>154</v>
      </c>
      <c r="F105" s="44">
        <v>46973092</v>
      </c>
      <c r="G105" s="18" t="s">
        <v>155</v>
      </c>
      <c r="H105" s="57">
        <v>56</v>
      </c>
      <c r="I105">
        <v>44</v>
      </c>
      <c r="J105">
        <v>21</v>
      </c>
    </row>
    <row r="106" spans="2:10" x14ac:dyDescent="0.25">
      <c r="B106" s="1">
        <v>101</v>
      </c>
      <c r="C106" s="43" t="s">
        <v>35</v>
      </c>
      <c r="D106" s="45">
        <v>5923620</v>
      </c>
      <c r="E106" s="18" t="s">
        <v>156</v>
      </c>
      <c r="F106" s="44">
        <v>631705213</v>
      </c>
      <c r="G106" s="18" t="s">
        <v>157</v>
      </c>
      <c r="H106" s="57">
        <v>30</v>
      </c>
      <c r="I106">
        <v>24</v>
      </c>
      <c r="J106">
        <v>12</v>
      </c>
    </row>
    <row r="107" spans="2:10" x14ac:dyDescent="0.25">
      <c r="B107" s="1">
        <v>102</v>
      </c>
      <c r="C107" s="43" t="s">
        <v>36</v>
      </c>
      <c r="D107" s="45">
        <v>46207178</v>
      </c>
      <c r="E107" s="18" t="s">
        <v>158</v>
      </c>
      <c r="F107" s="44">
        <v>63191841</v>
      </c>
      <c r="G107" s="18" t="s">
        <v>159</v>
      </c>
      <c r="H107" s="57">
        <v>91</v>
      </c>
      <c r="I107">
        <v>72</v>
      </c>
      <c r="J107">
        <v>36</v>
      </c>
    </row>
    <row r="108" spans="2:10" x14ac:dyDescent="0.25">
      <c r="B108" s="1">
        <v>103</v>
      </c>
      <c r="C108" s="43" t="s">
        <v>236</v>
      </c>
      <c r="D108" s="45">
        <v>73959337</v>
      </c>
      <c r="E108" s="18" t="s">
        <v>160</v>
      </c>
      <c r="F108" s="44">
        <v>73959338</v>
      </c>
      <c r="G108" s="18" t="s">
        <v>161</v>
      </c>
      <c r="H108" s="57">
        <v>24</v>
      </c>
      <c r="I108">
        <v>18</v>
      </c>
      <c r="J108">
        <v>9</v>
      </c>
    </row>
    <row r="109" spans="2:10" x14ac:dyDescent="0.25">
      <c r="B109" s="1">
        <v>104</v>
      </c>
      <c r="C109" s="43" t="s">
        <v>43</v>
      </c>
      <c r="D109" s="45">
        <v>5868246</v>
      </c>
      <c r="E109" s="18" t="s">
        <v>162</v>
      </c>
      <c r="F109" s="44">
        <v>63394014</v>
      </c>
      <c r="G109" s="18" t="s">
        <v>163</v>
      </c>
      <c r="H109" s="57">
        <v>16</v>
      </c>
      <c r="I109">
        <v>12</v>
      </c>
      <c r="J109">
        <v>6</v>
      </c>
    </row>
    <row r="110" spans="2:10" x14ac:dyDescent="0.25">
      <c r="B110" s="1">
        <v>105</v>
      </c>
      <c r="C110" s="43" t="s">
        <v>50</v>
      </c>
      <c r="D110" s="45"/>
      <c r="E110" s="18"/>
      <c r="F110" s="44"/>
      <c r="G110" s="18"/>
      <c r="H110" s="57">
        <v>18</v>
      </c>
      <c r="I110">
        <v>14</v>
      </c>
      <c r="J110">
        <v>7</v>
      </c>
    </row>
    <row r="111" spans="2:10" x14ac:dyDescent="0.25">
      <c r="B111" s="1">
        <v>106</v>
      </c>
      <c r="C111" s="43" t="s">
        <v>37</v>
      </c>
      <c r="D111" s="45"/>
      <c r="E111" s="18"/>
      <c r="F111" s="44"/>
      <c r="G111" s="18"/>
      <c r="H111" s="57">
        <v>15</v>
      </c>
      <c r="I111">
        <v>12</v>
      </c>
      <c r="J111">
        <v>6</v>
      </c>
    </row>
    <row r="112" spans="2:10" x14ac:dyDescent="0.25">
      <c r="B112" s="1">
        <v>107</v>
      </c>
      <c r="C112" s="43" t="s">
        <v>38</v>
      </c>
      <c r="D112" s="45">
        <v>44864206</v>
      </c>
      <c r="E112" s="18" t="s">
        <v>164</v>
      </c>
      <c r="F112" s="44">
        <v>48927967</v>
      </c>
      <c r="G112" s="18" t="s">
        <v>165</v>
      </c>
      <c r="H112" s="57">
        <v>30</v>
      </c>
      <c r="I112">
        <v>24</v>
      </c>
      <c r="J112">
        <v>12</v>
      </c>
    </row>
    <row r="113" spans="2:11" x14ac:dyDescent="0.25">
      <c r="B113" s="1">
        <v>108</v>
      </c>
      <c r="C113" s="43" t="s">
        <v>39</v>
      </c>
      <c r="D113" s="45"/>
      <c r="E113" s="18"/>
      <c r="F113" s="44"/>
      <c r="G113" s="18"/>
      <c r="H113" s="57">
        <v>178</v>
      </c>
      <c r="I113">
        <v>140</v>
      </c>
      <c r="J113">
        <v>69</v>
      </c>
    </row>
    <row r="114" spans="2:11" x14ac:dyDescent="0.25">
      <c r="B114" s="1">
        <v>109</v>
      </c>
      <c r="C114" s="49" t="s">
        <v>246</v>
      </c>
      <c r="D114" s="45"/>
      <c r="E114" s="18"/>
      <c r="F114" s="44"/>
      <c r="G114" s="18"/>
      <c r="H114" s="57">
        <v>200</v>
      </c>
      <c r="I114">
        <v>160</v>
      </c>
      <c r="J114">
        <v>79</v>
      </c>
    </row>
    <row r="115" spans="2:11" x14ac:dyDescent="0.25">
      <c r="B115" s="1">
        <v>110</v>
      </c>
      <c r="C115" s="43" t="s">
        <v>40</v>
      </c>
      <c r="D115" s="45">
        <v>75797455</v>
      </c>
      <c r="E115" s="18" t="s">
        <v>239</v>
      </c>
      <c r="F115" s="44">
        <v>5954952</v>
      </c>
      <c r="G115" s="18" t="s">
        <v>240</v>
      </c>
      <c r="H115" s="57">
        <v>105</v>
      </c>
      <c r="I115">
        <v>84</v>
      </c>
      <c r="J115">
        <v>41</v>
      </c>
    </row>
    <row r="116" spans="2:11" x14ac:dyDescent="0.25">
      <c r="B116" s="1">
        <v>111</v>
      </c>
      <c r="C116" s="43" t="s">
        <v>41</v>
      </c>
      <c r="D116" s="45">
        <v>80903106</v>
      </c>
      <c r="E116" s="18" t="s">
        <v>241</v>
      </c>
      <c r="F116" s="44">
        <v>48661963</v>
      </c>
      <c r="G116" s="18" t="s">
        <v>242</v>
      </c>
      <c r="H116" s="57">
        <v>109</v>
      </c>
      <c r="I116">
        <v>87</v>
      </c>
      <c r="J116">
        <v>43</v>
      </c>
    </row>
    <row r="117" spans="2:11" x14ac:dyDescent="0.25">
      <c r="B117" s="1">
        <v>112</v>
      </c>
      <c r="C117" s="1" t="s">
        <v>249</v>
      </c>
      <c r="D117" s="51"/>
      <c r="E117" s="49"/>
      <c r="F117" s="49"/>
      <c r="G117" s="49"/>
      <c r="H117" s="57">
        <v>19</v>
      </c>
      <c r="I117">
        <v>15</v>
      </c>
      <c r="J117">
        <v>7</v>
      </c>
    </row>
    <row r="118" spans="2:11" x14ac:dyDescent="0.25">
      <c r="B118" s="1">
        <v>113</v>
      </c>
      <c r="C118" s="43" t="s">
        <v>42</v>
      </c>
      <c r="D118" s="45">
        <v>62176195</v>
      </c>
      <c r="E118" s="18" t="s">
        <v>166</v>
      </c>
      <c r="F118" s="44">
        <v>5954439</v>
      </c>
      <c r="G118" s="18" t="s">
        <v>167</v>
      </c>
      <c r="H118" s="57">
        <v>27</v>
      </c>
      <c r="I118">
        <v>21</v>
      </c>
      <c r="J118">
        <v>10</v>
      </c>
    </row>
    <row r="119" spans="2:11" x14ac:dyDescent="0.25">
      <c r="B119" s="1">
        <v>114</v>
      </c>
      <c r="C119" s="43" t="s">
        <v>44</v>
      </c>
      <c r="D119" s="45">
        <v>44823129</v>
      </c>
      <c r="E119" s="18" t="s">
        <v>168</v>
      </c>
      <c r="F119" s="44">
        <v>80575816</v>
      </c>
      <c r="G119" s="18" t="s">
        <v>169</v>
      </c>
      <c r="H119" s="57">
        <v>27</v>
      </c>
      <c r="I119">
        <v>21</v>
      </c>
      <c r="J119">
        <v>10</v>
      </c>
    </row>
    <row r="120" spans="2:11" x14ac:dyDescent="0.25">
      <c r="B120" s="1">
        <v>115</v>
      </c>
      <c r="C120" s="43" t="s">
        <v>45</v>
      </c>
      <c r="D120" s="45"/>
      <c r="E120" s="18"/>
      <c r="F120" s="44"/>
      <c r="G120" s="18"/>
      <c r="H120" s="57">
        <v>110</v>
      </c>
      <c r="I120">
        <v>88</v>
      </c>
      <c r="J120">
        <v>43</v>
      </c>
    </row>
    <row r="121" spans="2:11" x14ac:dyDescent="0.25">
      <c r="B121" s="1">
        <v>116</v>
      </c>
      <c r="C121" s="43" t="s">
        <v>46</v>
      </c>
      <c r="D121" s="45">
        <v>45045995</v>
      </c>
      <c r="E121" s="18" t="s">
        <v>170</v>
      </c>
      <c r="F121" s="44">
        <v>77055403</v>
      </c>
      <c r="G121" s="18" t="s">
        <v>171</v>
      </c>
      <c r="H121" s="57">
        <v>94</v>
      </c>
      <c r="I121">
        <v>75</v>
      </c>
      <c r="J121">
        <v>36</v>
      </c>
    </row>
    <row r="122" spans="2:11" x14ac:dyDescent="0.25">
      <c r="B122" s="1">
        <v>117</v>
      </c>
      <c r="C122" s="43" t="s">
        <v>47</v>
      </c>
      <c r="D122" s="45">
        <v>62250647</v>
      </c>
      <c r="E122" s="18" t="s">
        <v>172</v>
      </c>
      <c r="F122" s="44">
        <v>63227418</v>
      </c>
      <c r="G122" s="18" t="s">
        <v>173</v>
      </c>
      <c r="H122" s="57">
        <v>86</v>
      </c>
      <c r="I122">
        <v>68</v>
      </c>
      <c r="J122">
        <v>33</v>
      </c>
    </row>
    <row r="123" spans="2:11" x14ac:dyDescent="0.25">
      <c r="B123" s="1">
        <v>118</v>
      </c>
      <c r="C123" s="43" t="s">
        <v>48</v>
      </c>
      <c r="D123" s="45">
        <v>76942559</v>
      </c>
      <c r="E123" s="18" t="s">
        <v>174</v>
      </c>
      <c r="F123" s="44">
        <v>47368129</v>
      </c>
      <c r="G123" s="18" t="s">
        <v>175</v>
      </c>
      <c r="H123" s="56">
        <v>106</v>
      </c>
      <c r="I123">
        <v>84</v>
      </c>
      <c r="J123">
        <v>42</v>
      </c>
    </row>
    <row r="124" spans="2:11" s="49" customFormat="1" x14ac:dyDescent="0.25">
      <c r="B124" s="1">
        <v>119</v>
      </c>
      <c r="C124" s="43" t="s">
        <v>49</v>
      </c>
      <c r="D124" s="45">
        <v>48824223</v>
      </c>
      <c r="E124" s="18" t="s">
        <v>176</v>
      </c>
      <c r="F124" s="44">
        <v>47096551</v>
      </c>
      <c r="G124" s="18" t="s">
        <v>177</v>
      </c>
      <c r="H124" s="56">
        <v>53</v>
      </c>
      <c r="I124">
        <v>42</v>
      </c>
      <c r="J124">
        <v>21</v>
      </c>
      <c r="K124" s="50"/>
    </row>
    <row r="125" spans="2:11" x14ac:dyDescent="0.25">
      <c r="B125" s="1">
        <v>120</v>
      </c>
      <c r="C125" s="1" t="s">
        <v>247</v>
      </c>
      <c r="D125" s="45"/>
      <c r="E125" s="18"/>
      <c r="F125" s="44"/>
      <c r="G125" s="18"/>
      <c r="H125" s="56">
        <v>34</v>
      </c>
      <c r="I125">
        <v>27</v>
      </c>
      <c r="J125">
        <v>13</v>
      </c>
    </row>
    <row r="126" spans="2:11" x14ac:dyDescent="0.25">
      <c r="B126" s="1">
        <v>121</v>
      </c>
      <c r="C126" s="43" t="s">
        <v>235</v>
      </c>
      <c r="D126" s="45">
        <v>48177640</v>
      </c>
      <c r="E126" s="18" t="s">
        <v>237</v>
      </c>
      <c r="F126" s="44">
        <v>62096471</v>
      </c>
      <c r="G126" s="18" t="s">
        <v>238</v>
      </c>
      <c r="H126" s="56">
        <v>46</v>
      </c>
      <c r="I126">
        <v>36</v>
      </c>
      <c r="J126">
        <v>18</v>
      </c>
    </row>
    <row r="127" spans="2:11" x14ac:dyDescent="0.25">
      <c r="B127" s="1">
        <v>122</v>
      </c>
      <c r="C127" s="1" t="s">
        <v>243</v>
      </c>
      <c r="D127" s="51"/>
      <c r="E127" s="49"/>
      <c r="F127" s="51"/>
      <c r="G127" s="49"/>
      <c r="H127" s="56">
        <v>29</v>
      </c>
      <c r="I127">
        <v>23</v>
      </c>
      <c r="J127">
        <v>11</v>
      </c>
    </row>
    <row r="128" spans="2:11" x14ac:dyDescent="0.25">
      <c r="B128" s="1">
        <v>123</v>
      </c>
      <c r="C128" s="1" t="s">
        <v>244</v>
      </c>
      <c r="D128" s="51"/>
      <c r="E128" s="49"/>
      <c r="F128" s="51"/>
      <c r="G128" s="49"/>
      <c r="H128" s="56">
        <v>62</v>
      </c>
      <c r="I128">
        <v>49</v>
      </c>
      <c r="J128">
        <v>24</v>
      </c>
    </row>
    <row r="129" spans="2:10" x14ac:dyDescent="0.25">
      <c r="B129" s="1">
        <v>124</v>
      </c>
      <c r="C129" s="1" t="s">
        <v>245</v>
      </c>
      <c r="D129" s="51"/>
      <c r="E129" s="49"/>
      <c r="F129" s="51"/>
      <c r="G129" s="49"/>
      <c r="H129" s="56">
        <v>28</v>
      </c>
      <c r="I129">
        <v>22</v>
      </c>
      <c r="J129">
        <v>11</v>
      </c>
    </row>
    <row r="130" spans="2:10" x14ac:dyDescent="0.25">
      <c r="B130" s="1">
        <v>125</v>
      </c>
      <c r="C130" s="1" t="s">
        <v>356</v>
      </c>
      <c r="D130" s="45">
        <v>80490261</v>
      </c>
      <c r="E130" s="18" t="s">
        <v>357</v>
      </c>
      <c r="F130" s="44">
        <v>44657285</v>
      </c>
      <c r="G130" s="18" t="s">
        <v>358</v>
      </c>
      <c r="H130" s="56">
        <v>28</v>
      </c>
      <c r="I130">
        <v>22</v>
      </c>
      <c r="J130">
        <v>11</v>
      </c>
    </row>
    <row r="131" spans="2:10" x14ac:dyDescent="0.25">
      <c r="H131" s="53">
        <f>SUM(H5:H130)</f>
        <v>6277</v>
      </c>
      <c r="I131" s="53">
        <f>SUM(I5:I130)</f>
        <v>5001</v>
      </c>
      <c r="J131" s="53">
        <f>SUM(J5:J130)</f>
        <v>2465</v>
      </c>
    </row>
  </sheetData>
  <sheetProtection algorithmName="SHA-512" hashValue="ZDBnrIPjWciD+EEN87Q8KRJQsCM9Bcpxp5uYjI0UvGmkoFryirE64tG5ljQOaYeGuIu8EHtwqTG9JwBZYsMeHg==" saltValue="H6DWdE94qFIMQ2vvPg+gsw==" spinCount="100000" sheet="1" objects="1" scenarios="1"/>
  <autoFilter ref="B4:J130" xr:uid="{E0D7304D-CE2A-441F-B6A3-077A2FF38B44}">
    <sortState xmlns:xlrd2="http://schemas.microsoft.com/office/spreadsheetml/2017/richdata2" ref="B5:J130">
      <sortCondition ref="C4:C130"/>
    </sortState>
  </autoFilter>
  <mergeCells count="1">
    <mergeCell ref="A3:C3"/>
  </mergeCells>
  <conditionalFormatting sqref="B17">
    <cfRule type="expression" dxfId="3" priority="6">
      <formula>ROW()=CELL("fila")</formula>
    </cfRule>
  </conditionalFormatting>
  <conditionalFormatting sqref="C5:J63 I64:J126 C64:G126 H64:H129">
    <cfRule type="expression" dxfId="2" priority="3">
      <formula>ROW()=CELL("fila")</formula>
    </cfRule>
  </conditionalFormatting>
  <conditionalFormatting sqref="D130:G130">
    <cfRule type="expression" dxfId="1" priority="2">
      <formula>ROW()=CELL("fila")</formula>
    </cfRule>
  </conditionalFormatting>
  <conditionalFormatting sqref="H130">
    <cfRule type="expression" dxfId="0" priority="1">
      <formula>ROW()=CELL("fila")</formula>
    </cfRule>
  </conditionalFormatting>
  <pageMargins left="0.70866141732283472" right="0.70866141732283472" top="0.74803149606299213" bottom="0.74803149606299213" header="0.31496062992125984" footer="0.31496062992125984"/>
  <pageSetup scale="70" orientation="landscape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B427B-E464-4E7A-9891-40F49D4F3F70}">
  <sheetPr codeName="Hoja3"/>
  <dimension ref="B2:E14"/>
  <sheetViews>
    <sheetView showGridLines="0" showRowColHeaders="0" view="pageBreakPreview" topLeftCell="A3" zoomScale="130" zoomScaleNormal="100" zoomScaleSheetLayoutView="130" workbookViewId="0">
      <selection activeCell="D10" sqref="D10"/>
    </sheetView>
  </sheetViews>
  <sheetFormatPr baseColWidth="10" defaultRowHeight="15" x14ac:dyDescent="0.25"/>
  <cols>
    <col min="1" max="1" width="2.42578125" customWidth="1"/>
    <col min="2" max="2" width="12" customWidth="1"/>
    <col min="3" max="3" width="8.85546875" customWidth="1"/>
    <col min="4" max="4" width="50.140625" customWidth="1"/>
    <col min="5" max="5" width="10.7109375" customWidth="1"/>
  </cols>
  <sheetData>
    <row r="2" spans="2:5" x14ac:dyDescent="0.25">
      <c r="D2" s="9">
        <v>1</v>
      </c>
    </row>
    <row r="3" spans="2:5" ht="47.25" customHeight="1" x14ac:dyDescent="0.25">
      <c r="B3" s="16">
        <v>45</v>
      </c>
    </row>
    <row r="5" spans="2:5" ht="21" x14ac:dyDescent="0.25">
      <c r="C5" s="61" t="s">
        <v>79</v>
      </c>
      <c r="D5" s="62"/>
      <c r="E5" s="17"/>
    </row>
    <row r="6" spans="2:5" x14ac:dyDescent="0.25">
      <c r="C6" s="10">
        <f ca="1">OFFSET('base de datos'!B4,$D$2,0)</f>
        <v>1</v>
      </c>
      <c r="D6" s="11" t="str">
        <f ca="1">OFFSET('base de datos'!C4,$D$2,0)</f>
        <v xml:space="preserve"> 12 DE NOVIEMBRE</v>
      </c>
      <c r="E6" s="17"/>
    </row>
    <row r="7" spans="2:5" x14ac:dyDescent="0.25">
      <c r="C7" s="12">
        <f ca="1">OFFSET('base de datos'!B5,$D$2,0)</f>
        <v>2</v>
      </c>
      <c r="D7" s="13" t="str">
        <f ca="1">OFFSET('base de datos'!C5,$D$2,0)</f>
        <v xml:space="preserve"> 13 DE MAYO</v>
      </c>
      <c r="E7" s="17"/>
    </row>
    <row r="8" spans="2:5" x14ac:dyDescent="0.25">
      <c r="C8" s="12">
        <f ca="1">OFFSET('base de datos'!B6,$D$2,0)</f>
        <v>3</v>
      </c>
      <c r="D8" s="13" t="str">
        <f ca="1">OFFSET('base de datos'!C6,$D$2,0)</f>
        <v xml:space="preserve"> 24 DE DICIEMBRE</v>
      </c>
      <c r="E8" s="17"/>
    </row>
    <row r="9" spans="2:5" x14ac:dyDescent="0.25">
      <c r="C9" s="12">
        <f ca="1">OFFSET('base de datos'!B7,$D$2,0)</f>
        <v>4</v>
      </c>
      <c r="D9" s="13" t="str">
        <f ca="1">OFFSET('base de datos'!C7,$D$2,0)</f>
        <v>24 DE NOVIEMBRE</v>
      </c>
      <c r="E9" s="17"/>
    </row>
    <row r="10" spans="2:5" x14ac:dyDescent="0.25">
      <c r="C10" s="12">
        <f ca="1">OFFSET('base de datos'!B8,$D$2,0)</f>
        <v>5</v>
      </c>
      <c r="D10" s="13" t="str">
        <f ca="1">OFFSET('base de datos'!C8,$D$2,0)</f>
        <v>25 DE OCTUBRE</v>
      </c>
      <c r="E10" s="17"/>
    </row>
    <row r="11" spans="2:5" x14ac:dyDescent="0.25">
      <c r="C11" s="20">
        <f ca="1">OFFSET('base de datos'!B9,$D$2,0)</f>
        <v>6</v>
      </c>
      <c r="D11" s="13" t="str">
        <f ca="1">OFFSET('base de datos'!C9,$D$2,0)</f>
        <v>26 DE ABRIL</v>
      </c>
      <c r="E11" s="17"/>
    </row>
    <row r="12" spans="2:5" x14ac:dyDescent="0.25">
      <c r="C12" s="12">
        <f ca="1">OFFSET('base de datos'!B10,$D$2,0)</f>
        <v>7</v>
      </c>
      <c r="D12" s="13" t="str">
        <f ca="1">OFFSET('base de datos'!C10,$D$2,0)</f>
        <v xml:space="preserve"> 28 DE JULIO</v>
      </c>
      <c r="E12" s="17"/>
    </row>
    <row r="13" spans="2:5" x14ac:dyDescent="0.25">
      <c r="C13" s="12">
        <f ca="1">OFFSET('base de datos'!B11,$D$2,0)</f>
        <v>8</v>
      </c>
      <c r="D13" s="13" t="str">
        <f ca="1">OFFSET('base de datos'!C11,$D$2,0)</f>
        <v xml:space="preserve"> 7 DE JUNIO</v>
      </c>
      <c r="E13" s="17"/>
    </row>
    <row r="14" spans="2:5" x14ac:dyDescent="0.25">
      <c r="C14" s="14">
        <f ca="1">OFFSET('base de datos'!B12,$D$2,0)</f>
        <v>9</v>
      </c>
      <c r="D14" s="15" t="str">
        <f ca="1">OFFSET('base de datos'!C12,$D$2,0)</f>
        <v>8 DE MAYO A</v>
      </c>
      <c r="E14" s="17"/>
    </row>
  </sheetData>
  <mergeCells count="1">
    <mergeCell ref="C5:D5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locked="0" defaultSize="0" autoPict="0">
                <anchor>
                  <from>
                    <xdr:col>4</xdr:col>
                    <xdr:colOff>152400</xdr:colOff>
                    <xdr:row>4</xdr:row>
                    <xdr:rowOff>123825</xdr:rowOff>
                  </from>
                  <to>
                    <xdr:col>4</xdr:col>
                    <xdr:colOff>542925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7E4F0-0A88-4BB6-8842-A131E1DF8CCE}">
  <sheetPr codeName="Hoja2"/>
  <dimension ref="A6:N38"/>
  <sheetViews>
    <sheetView view="pageLayout" topLeftCell="A25" zoomScale="85" zoomScaleNormal="100" zoomScaleSheetLayoutView="100" zoomScalePageLayoutView="85" workbookViewId="0">
      <selection activeCell="B23" sqref="B23"/>
    </sheetView>
  </sheetViews>
  <sheetFormatPr baseColWidth="10" defaultRowHeight="15" x14ac:dyDescent="0.25"/>
  <cols>
    <col min="1" max="1" width="3.28515625" customWidth="1"/>
    <col min="2" max="2" width="13.85546875" bestFit="1" customWidth="1"/>
    <col min="3" max="3" width="3.42578125" customWidth="1"/>
    <col min="4" max="4" width="5.85546875" customWidth="1"/>
    <col min="5" max="7" width="4.28515625" customWidth="1"/>
    <col min="8" max="8" width="7.42578125" customWidth="1"/>
    <col min="9" max="9" width="13.5703125" customWidth="1"/>
    <col min="10" max="10" width="18.28515625" customWidth="1"/>
    <col min="11" max="11" width="11.7109375" customWidth="1"/>
    <col min="12" max="12" width="12.7109375" customWidth="1"/>
    <col min="13" max="13" width="10.85546875" customWidth="1"/>
    <col min="14" max="14" width="11.5703125" customWidth="1"/>
    <col min="15" max="15" width="5.140625" customWidth="1"/>
  </cols>
  <sheetData>
    <row r="6" spans="1:14" x14ac:dyDescent="0.25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2"/>
    </row>
    <row r="7" spans="1:14" x14ac:dyDescent="0.2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8" spans="1:14" x14ac:dyDescent="0.2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  <row r="9" spans="1:14" ht="26.25" x14ac:dyDescent="0.4">
      <c r="B9" s="63" t="s">
        <v>70</v>
      </c>
      <c r="C9" s="63"/>
      <c r="D9" s="63"/>
      <c r="E9" s="63"/>
      <c r="F9" s="63"/>
      <c r="G9" s="63"/>
      <c r="H9" s="63"/>
      <c r="I9" s="63"/>
      <c r="J9" s="63"/>
      <c r="K9" s="63"/>
      <c r="L9" s="63"/>
      <c r="M9" s="4"/>
    </row>
    <row r="10" spans="1:14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"/>
    </row>
    <row r="11" spans="1:14" ht="23.25" customHeight="1" x14ac:dyDescent="0.3">
      <c r="A11" s="36"/>
      <c r="B11" s="27" t="s">
        <v>56</v>
      </c>
      <c r="C11" s="28" t="str">
        <f ca="1">TEXT(TODAY(),"DD")</f>
        <v>14</v>
      </c>
      <c r="D11" s="64" t="s">
        <v>68</v>
      </c>
      <c r="E11" s="64"/>
      <c r="F11" s="64"/>
      <c r="G11" s="64"/>
      <c r="H11" s="64" t="str">
        <f ca="1">TEXT(TODAY(),"MMMM")</f>
        <v>Abril</v>
      </c>
      <c r="I11" s="64"/>
      <c r="J11" s="30" t="s">
        <v>69</v>
      </c>
      <c r="K11" s="29">
        <v>2026</v>
      </c>
      <c r="L11" s="29"/>
      <c r="M11" s="5"/>
    </row>
    <row r="12" spans="1:14" ht="18.75" x14ac:dyDescent="0.3">
      <c r="A12" s="36"/>
      <c r="B12" s="29" t="s">
        <v>57</v>
      </c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5"/>
    </row>
    <row r="13" spans="1:14" ht="18.75" x14ac:dyDescent="0.3">
      <c r="A13" s="36"/>
      <c r="B13" s="29" t="s">
        <v>58</v>
      </c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5"/>
    </row>
    <row r="14" spans="1:14" ht="18.75" x14ac:dyDescent="0.3">
      <c r="A14" s="36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5"/>
    </row>
    <row r="15" spans="1:14" ht="18.75" x14ac:dyDescent="0.3">
      <c r="A15" s="36"/>
      <c r="B15" s="29"/>
      <c r="C15" s="29"/>
      <c r="D15" s="29"/>
      <c r="E15" s="29"/>
      <c r="F15" s="29"/>
      <c r="G15" s="29"/>
      <c r="H15" s="29"/>
      <c r="I15" s="29" t="s">
        <v>59</v>
      </c>
      <c r="J15" s="29"/>
      <c r="K15" s="29"/>
      <c r="L15" s="29"/>
      <c r="M15" s="5"/>
    </row>
    <row r="16" spans="1:14" ht="18.75" x14ac:dyDescent="0.3">
      <c r="A16" s="36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5"/>
    </row>
    <row r="17" spans="1:13" ht="19.149999999999999" customHeight="1" x14ac:dyDescent="0.3">
      <c r="A17" s="36"/>
      <c r="B17" s="31"/>
      <c r="C17" s="31" t="s">
        <v>60</v>
      </c>
      <c r="D17" s="31"/>
      <c r="E17" s="31"/>
      <c r="F17" s="31"/>
      <c r="G17" s="32" t="str">
        <f>LOOKUP(COMITE!B3,'base de datos'!B5:B130,'base de datos'!E5:E130)</f>
        <v>ADOLIA YUYARIMA PACAYA</v>
      </c>
      <c r="H17" s="33"/>
      <c r="I17" s="33"/>
      <c r="J17" s="33"/>
      <c r="K17" s="31" t="s">
        <v>61</v>
      </c>
      <c r="L17" s="34">
        <f>LOOKUP(COMITE!B3,'base de datos'!B5:B130,'base de datos'!D5:D130)</f>
        <v>45164125</v>
      </c>
      <c r="M17" s="6"/>
    </row>
    <row r="18" spans="1:13" ht="18.75" x14ac:dyDescent="0.3">
      <c r="A18" s="36"/>
      <c r="B18" s="31" t="s">
        <v>62</v>
      </c>
      <c r="C18" s="31"/>
      <c r="D18" s="31"/>
      <c r="E18" s="31"/>
      <c r="F18" s="31"/>
      <c r="G18" s="33" t="str">
        <f>LOOKUP(COMITE!B3,'base de datos'!B5:B130,'base de datos'!G5:G130)</f>
        <v>GINA PAOLA PEREIRA MOZOMBITE</v>
      </c>
      <c r="H18" s="33"/>
      <c r="I18" s="33"/>
      <c r="J18" s="33"/>
      <c r="K18" s="31" t="s">
        <v>61</v>
      </c>
      <c r="L18" s="34">
        <f>LOOKUP(COMITE!B3,'base de datos'!B5:B130,'base de datos'!F5:F130)</f>
        <v>74447845</v>
      </c>
      <c r="M18" s="5"/>
    </row>
    <row r="19" spans="1:13" ht="18.75" x14ac:dyDescent="0.3">
      <c r="A19" s="36"/>
      <c r="B19" s="31" t="s">
        <v>75</v>
      </c>
      <c r="C19" s="29"/>
      <c r="D19" s="31"/>
      <c r="E19" s="31"/>
      <c r="F19" s="31"/>
      <c r="G19" s="31"/>
      <c r="H19" s="31"/>
      <c r="I19" s="31"/>
      <c r="J19" s="31"/>
      <c r="K19" s="31"/>
      <c r="L19" s="31"/>
      <c r="M19" s="6"/>
    </row>
    <row r="20" spans="1:13" ht="18.75" x14ac:dyDescent="0.3">
      <c r="A20" s="36"/>
      <c r="B20" s="66" t="str">
        <f>LOOKUP(COMITE!B3,'base de datos'!B5:B130,'base de datos'!C5:C130)</f>
        <v>PASAJE BELEN</v>
      </c>
      <c r="C20" s="66"/>
      <c r="D20" s="66"/>
      <c r="E20" s="66"/>
      <c r="F20" s="66"/>
      <c r="G20" s="66"/>
      <c r="H20" s="66"/>
      <c r="I20" s="66"/>
      <c r="J20" s="66"/>
      <c r="K20" s="31" t="s">
        <v>76</v>
      </c>
      <c r="L20" s="31"/>
      <c r="M20" s="5"/>
    </row>
    <row r="21" spans="1:13" ht="18.75" x14ac:dyDescent="0.3">
      <c r="A21" s="36"/>
      <c r="B21" s="31" t="s">
        <v>83</v>
      </c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5"/>
    </row>
    <row r="22" spans="1:13" ht="26.25" x14ac:dyDescent="0.4">
      <c r="A22" s="36"/>
      <c r="B22" s="31" t="s">
        <v>359</v>
      </c>
      <c r="C22" s="31"/>
      <c r="D22" s="31"/>
      <c r="E22" s="31"/>
      <c r="F22" s="31"/>
      <c r="G22" s="31"/>
      <c r="H22" s="31"/>
      <c r="I22" s="35"/>
      <c r="J22" s="31"/>
      <c r="K22" s="36"/>
      <c r="L22" s="29"/>
      <c r="M22" s="5"/>
    </row>
    <row r="23" spans="1:13" ht="18.75" x14ac:dyDescent="0.3">
      <c r="A23" s="36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5"/>
    </row>
    <row r="24" spans="1:13" ht="18.75" x14ac:dyDescent="0.3">
      <c r="A24" s="36"/>
      <c r="B24" s="31"/>
      <c r="C24" s="31"/>
      <c r="D24" s="31"/>
      <c r="E24" s="31"/>
      <c r="F24" s="31"/>
      <c r="G24" s="31"/>
      <c r="H24" s="31"/>
      <c r="I24" s="29"/>
      <c r="J24" s="31"/>
      <c r="K24" s="29"/>
      <c r="L24" s="31"/>
      <c r="M24" s="5"/>
    </row>
    <row r="25" spans="1:13" ht="18.75" x14ac:dyDescent="0.3">
      <c r="A25" s="36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3"/>
    </row>
    <row r="26" spans="1:13" ht="18.75" x14ac:dyDescent="0.3">
      <c r="A26" s="36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3"/>
    </row>
    <row r="27" spans="1:13" ht="18.75" x14ac:dyDescent="0.3">
      <c r="A27" s="36"/>
      <c r="B27" s="29"/>
      <c r="C27" s="29"/>
      <c r="D27" s="29" t="s">
        <v>63</v>
      </c>
      <c r="E27" s="29"/>
      <c r="F27" s="29"/>
      <c r="G27" s="29"/>
      <c r="H27" s="29"/>
      <c r="I27" s="29"/>
      <c r="J27" s="29"/>
      <c r="K27" s="29"/>
      <c r="L27" s="29"/>
      <c r="M27" s="3"/>
    </row>
    <row r="28" spans="1:13" ht="18.75" x14ac:dyDescent="0.3">
      <c r="A28" s="36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3"/>
    </row>
    <row r="29" spans="1:13" ht="18.75" x14ac:dyDescent="0.3">
      <c r="A29" s="36"/>
      <c r="B29" s="29"/>
      <c r="C29" s="29"/>
      <c r="D29" s="29">
        <f>LOOKUP(COMITE!B3,'base de datos'!B5:B130,'base de datos'!I5:I130)</f>
        <v>24</v>
      </c>
      <c r="E29" s="29" t="s">
        <v>64</v>
      </c>
      <c r="F29" s="29"/>
      <c r="G29" s="29"/>
      <c r="H29" s="29"/>
      <c r="I29" s="29"/>
      <c r="J29" s="29"/>
      <c r="K29" s="29"/>
      <c r="L29" s="29"/>
      <c r="M29" s="3"/>
    </row>
    <row r="30" spans="1:13" ht="18.75" x14ac:dyDescent="0.3">
      <c r="A30" s="36"/>
      <c r="B30" s="29"/>
      <c r="C30" s="29"/>
      <c r="D30" s="29">
        <f>LOOKUP(COMITE!B3,'base de datos'!B5:B130,'base de datos'!J5:J130)</f>
        <v>12</v>
      </c>
      <c r="E30" s="29" t="s">
        <v>77</v>
      </c>
      <c r="F30" s="29"/>
      <c r="G30" s="29"/>
      <c r="H30" s="29"/>
      <c r="I30" s="29"/>
      <c r="J30" s="29"/>
      <c r="K30" s="29"/>
      <c r="L30" s="29"/>
      <c r="M30" s="3"/>
    </row>
    <row r="31" spans="1:13" ht="18.75" x14ac:dyDescent="0.3">
      <c r="A31" s="36"/>
      <c r="B31" s="29"/>
      <c r="C31" s="29"/>
      <c r="D31" s="29"/>
      <c r="E31" s="29" t="s">
        <v>78</v>
      </c>
      <c r="F31" s="29"/>
      <c r="G31" s="29"/>
      <c r="H31" s="29"/>
      <c r="I31" s="29"/>
      <c r="J31" s="29"/>
      <c r="K31" s="29"/>
      <c r="L31" s="29"/>
      <c r="M31" s="3"/>
    </row>
    <row r="32" spans="1:13" ht="18.75" x14ac:dyDescent="0.3">
      <c r="A32" s="36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3"/>
    </row>
    <row r="33" spans="1:13" ht="18.75" x14ac:dyDescent="0.3">
      <c r="A33" s="36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3"/>
    </row>
    <row r="34" spans="1:13" ht="18.75" x14ac:dyDescent="0.3">
      <c r="A34" s="36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3"/>
    </row>
    <row r="35" spans="1:13" x14ac:dyDescent="0.25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"/>
    </row>
    <row r="36" spans="1:13" x14ac:dyDescent="0.25">
      <c r="A36" s="36"/>
      <c r="B36" s="36"/>
      <c r="C36" s="37"/>
      <c r="D36" s="37"/>
      <c r="E36" s="37"/>
      <c r="F36" s="37"/>
      <c r="G36" s="37"/>
      <c r="H36" s="37"/>
      <c r="I36" s="36"/>
      <c r="J36" s="37"/>
      <c r="K36" s="37"/>
      <c r="L36" s="37"/>
      <c r="M36" s="3"/>
    </row>
    <row r="37" spans="1:13" x14ac:dyDescent="0.25">
      <c r="A37" s="36"/>
      <c r="B37" s="36"/>
      <c r="C37" s="38" t="s">
        <v>65</v>
      </c>
      <c r="D37" s="39"/>
      <c r="E37" s="67">
        <f>LOOKUP(COMITE!B3,'base de datos'!B5:B130,'base de datos'!D5:D130)</f>
        <v>45164125</v>
      </c>
      <c r="F37" s="67"/>
      <c r="G37" s="67"/>
      <c r="H37" s="67"/>
      <c r="I37" s="36"/>
      <c r="J37" s="38" t="s">
        <v>65</v>
      </c>
      <c r="K37" s="40">
        <f>LOOKUP(COMITE!B3,'base de datos'!B5:B130,'base de datos'!F5:F130)</f>
        <v>74447845</v>
      </c>
      <c r="L37" s="39"/>
      <c r="M37" s="3"/>
    </row>
    <row r="38" spans="1:13" ht="25.9" customHeight="1" x14ac:dyDescent="0.25">
      <c r="A38" s="36"/>
      <c r="B38" s="36"/>
      <c r="C38" s="41" t="s">
        <v>66</v>
      </c>
      <c r="D38" s="41"/>
      <c r="E38" s="65" t="str">
        <f>LOOKUP(COMITE!B3,'base de datos'!B5:B130,'base de datos'!E5:E130)</f>
        <v>ADOLIA YUYARIMA PACAYA</v>
      </c>
      <c r="F38" s="65"/>
      <c r="G38" s="65"/>
      <c r="H38" s="65"/>
      <c r="I38" s="36"/>
      <c r="J38" s="42" t="s">
        <v>67</v>
      </c>
      <c r="K38" s="65" t="str">
        <f>LOOKUP(COMITE!B3,'base de datos'!B5:B130,'base de datos'!G5:G130)</f>
        <v>GINA PAOLA PEREIRA MOZOMBITE</v>
      </c>
      <c r="L38" s="65"/>
      <c r="M38" s="3"/>
    </row>
  </sheetData>
  <sheetProtection algorithmName="SHA-512" hashValue="vBvnN9Qu7hJjXRipIgroLj97xXUb3MUH2VTViUcWnZtnzTa4NAsD/rlIF7muHS6U5cXsoOwHKzbQYuvIFOMrjg==" saltValue="awnMz6Ow6z0SUzTASBc7oA==" spinCount="100000" sheet="1" objects="1" scenarios="1"/>
  <mergeCells count="7">
    <mergeCell ref="B9:L9"/>
    <mergeCell ref="H11:I11"/>
    <mergeCell ref="E38:H38"/>
    <mergeCell ref="K38:L38"/>
    <mergeCell ref="B20:J20"/>
    <mergeCell ref="E37:H37"/>
    <mergeCell ref="D11:G11"/>
  </mergeCells>
  <pageMargins left="0" right="0" top="0" bottom="0" header="0" footer="0"/>
  <pageSetup orientation="portrait" r:id="rId1"/>
  <headerFooter>
    <oddHeader>&amp;C&amp;G</oddHead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base de datos</vt:lpstr>
      <vt:lpstr>COMITE</vt:lpstr>
      <vt:lpstr>ACTA DE CONFORMIDAD</vt:lpstr>
      <vt:lpstr>'base de datos'!Criterios</vt:lpstr>
      <vt:lpstr>'base de datos'!ReporteComite_16060120230414112555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ENRIQUE CLARIANA SAAVEDRA</dc:creator>
  <cp:lastModifiedBy>HP</cp:lastModifiedBy>
  <cp:lastPrinted>2026-03-27T15:31:53Z</cp:lastPrinted>
  <dcterms:created xsi:type="dcterms:W3CDTF">2023-04-12T13:26:08Z</dcterms:created>
  <dcterms:modified xsi:type="dcterms:W3CDTF">2026-04-14T15:28:45Z</dcterms:modified>
</cp:coreProperties>
</file>