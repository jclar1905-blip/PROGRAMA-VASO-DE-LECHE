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PVL\2026\PECOSAS\ABRIL\"/>
    </mc:Choice>
  </mc:AlternateContent>
  <xr:revisionPtr revIDLastSave="0" documentId="13_ncr:1_{573E1373-52E8-4BC1-8BB3-02A503478655}" xr6:coauthVersionLast="47" xr6:coauthVersionMax="47" xr10:uidLastSave="{00000000-0000-0000-0000-000000000000}"/>
  <bookViews>
    <workbookView xWindow="-120" yWindow="-120" windowWidth="20730" windowHeight="11040" xr2:uid="{CD60E73A-EAEB-4913-A183-3C99D0591D92}"/>
  </bookViews>
  <sheets>
    <sheet name="COMITES" sheetId="5" r:id="rId1"/>
    <sheet name="PECOSA" sheetId="1" r:id="rId2"/>
  </sheets>
  <functionGroups builtInGroupCount="19"/>
  <definedNames>
    <definedName name="_xlnm._FilterDatabase" localSheetId="0" hidden="1">COMITES!$A$1:$K$128</definedName>
    <definedName name="_xlnm.Print_Area" localSheetId="1">PECOSA!$A$2:$S$38</definedName>
    <definedName name="ReporteComite_16060120230414112555" localSheetId="0">COMITES!$C$1:$H$119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8" i="5" l="1"/>
  <c r="I128" i="5"/>
  <c r="I129" i="5" l="1"/>
  <c r="H128" i="5" l="1"/>
  <c r="C12" i="1" l="1"/>
  <c r="C11" i="1"/>
  <c r="D5" i="1"/>
  <c r="A3" i="1"/>
  <c r="K128" i="5" l="1"/>
  <c r="B3" i="5" l="1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R2" i="1" l="1"/>
  <c r="D6" i="1"/>
  <c r="M12" i="1" l="1"/>
  <c r="R12" i="1" s="1"/>
  <c r="M11" i="1"/>
  <c r="R11" i="1" s="1"/>
  <c r="R23" i="1" l="1"/>
  <c r="P2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</author>
  </authors>
  <commentList>
    <comment ref="A6" authorId="0" shapeId="0" xr:uid="{53EC3F4D-344D-4D03-8E90-1D17D71989BE}">
      <text>
        <r>
          <rPr>
            <b/>
            <sz val="9"/>
            <color indexed="81"/>
            <rFont val="Tahoma"/>
            <family val="2"/>
          </rPr>
          <t>Joe:</t>
        </r>
        <r>
          <rPr>
            <sz val="9"/>
            <color indexed="81"/>
            <rFont val="Tahoma"/>
            <family val="2"/>
          </rPr>
          <t xml:space="preserve">
1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0AFC572-379A-47B5-8488-BA6B055DD0F9}" keepAlive="1" name="Consulta - comites 2024" description="Conexión a la consulta 'comites 2024' en el libro." type="5" refreshedVersion="0" background="1">
    <dbPr connection="Provider=Microsoft.Mashup.OleDb.1;Data Source=$Workbook$;Location=&quot;comites 2024&quot;;Extended Properties=&quot;&quot;" command="SELECT * FROM [comites 2024]"/>
  </connection>
  <connection id="2" xr16:uid="{5B1B9CB7-948D-48AA-8124-9E91450AF44E}" keepAlive="1" name="Consulta - PVL Comites 2024" description="Conexión a la consulta 'PVL Comites 2024' en el libro." type="5" refreshedVersion="7" background="1" saveData="1">
    <dbPr connection="Provider=Microsoft.Mashup.OleDb.1;Data Source=$Workbook$;Location=&quot;PVL Comites 2024&quot;;Extended Properties=&quot;&quot;" command="SELECT * FROM [PVL Comites 2024]"/>
  </connection>
  <connection id="3" xr16:uid="{7FA4F75C-2902-4D03-9D64-D11A969D2C87}" keepAlive="1" name="Consulta - ReporteComite_16060120240603120445 (1)" description="Conexión a la consulta 'ReporteComite_16060120240603120445 (1)' en el libro." type="5" refreshedVersion="0" background="1">
    <dbPr connection="Provider=Microsoft.Mashup.OleDb.1;Data Source=$Workbook$;Location=&quot;ReporteComite_16060120240603120445 (1)&quot;;Extended Properties=&quot;&quot;" command="SELECT * FROM [ReporteComite_16060120240603120445 (1)]"/>
  </connection>
  <connection id="4" xr16:uid="{463BCF26-A669-45BD-AE1D-6348B53B4AE8}" keepAlive="1" name="Consulta - ReporteComite_16060120241115142407" description="Conexión a la consulta 'ReporteComite_16060120241115142407' en el libro." type="5" refreshedVersion="7" background="1" saveData="1">
    <dbPr connection="Provider=Microsoft.Mashup.OleDb.1;Data Source=$Workbook$;Location=ReporteComite_16060120241115142407;Extended Properties=&quot;&quot;" command="SELECT * FROM [ReporteComite_16060120241115142407]"/>
  </connection>
  <connection id="5" xr16:uid="{97156903-73FC-49B9-983F-8D67B4CA19F1}" name="ReporteComite_160601202304141125551" type="6" refreshedVersion="8" background="1" saveData="1">
    <textPr sourceFile="C:\Users\ALESSIA\Documents\ReporteComite_16060120230414112555.csv" tab="0" comma="1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<sst xmlns="http://schemas.openxmlformats.org/spreadsheetml/2006/main" count="399" uniqueCount="393">
  <si>
    <t>LUGAR</t>
  </si>
  <si>
    <t>contamana</t>
  </si>
  <si>
    <t>FECHA</t>
  </si>
  <si>
    <t>AFECTACION PRESUPUESTAL</t>
  </si>
  <si>
    <t>PROGRAMA</t>
  </si>
  <si>
    <t>P.V.L.</t>
  </si>
  <si>
    <t>SOLICITO ENTREGA A :</t>
  </si>
  <si>
    <t>CON DESTINO A:</t>
  </si>
  <si>
    <t>RENGLONES</t>
  </si>
  <si>
    <t>SOLICITADO</t>
  </si>
  <si>
    <t>DESCRIPCION</t>
  </si>
  <si>
    <t>ARTICULOS</t>
  </si>
  <si>
    <t>Leche evaporada entera x 410 gr.</t>
  </si>
  <si>
    <t>pedido N°</t>
  </si>
  <si>
    <t>Salida N°</t>
  </si>
  <si>
    <t>DESPACHADO</t>
  </si>
  <si>
    <t>VALORES</t>
  </si>
  <si>
    <t>TOTAL</t>
  </si>
  <si>
    <t>ESPECIFICACIONES</t>
  </si>
  <si>
    <t>MARCA</t>
  </si>
  <si>
    <t>N° DE SERIE</t>
  </si>
  <si>
    <t>CLASIFICACION</t>
  </si>
  <si>
    <t>CANTIDAD DESPACHADA</t>
  </si>
  <si>
    <t>Gloria</t>
  </si>
  <si>
    <t>Lat.</t>
  </si>
  <si>
    <t>Kg.</t>
  </si>
  <si>
    <t>equipo de transporte</t>
  </si>
  <si>
    <t>maquinaria y quipo</t>
  </si>
  <si>
    <t>N°</t>
  </si>
  <si>
    <t>(EN LETRAS)</t>
  </si>
  <si>
    <t>ALMACENERO</t>
  </si>
  <si>
    <t>RECIBI CONFORME</t>
  </si>
  <si>
    <t>CASERIO CONTAMANILLO</t>
  </si>
  <si>
    <t>CASERIO NUEVO BELEN</t>
  </si>
  <si>
    <t>CASERIO JULIO C ARANA</t>
  </si>
  <si>
    <t>CASERIO NUEVO EGIPTO - RIO PISQUI</t>
  </si>
  <si>
    <t>CASERIO LA UNION</t>
  </si>
  <si>
    <t>CASERIO NUEVO AARON</t>
  </si>
  <si>
    <t>CASERIO JERUSALEN - RIO PISQUI</t>
  </si>
  <si>
    <t>CASERIO NUEVO AMANECER</t>
  </si>
  <si>
    <t>CASERIO ALAN GARCIA</t>
  </si>
  <si>
    <t>CASERIO NUEVO SAN PEDRO</t>
  </si>
  <si>
    <t>CASERIO MONTE SINAI</t>
  </si>
  <si>
    <t>CASERIO LOURDES DE TIPISHCA</t>
  </si>
  <si>
    <t>CASERIO NUEVO JERUSALEN - RIO UCAYALI</t>
  </si>
  <si>
    <t>CASERIO NUEVO PARAISO - RIO UCAYALI</t>
  </si>
  <si>
    <t>CASERIO NUEVO SAN ROQUE</t>
  </si>
  <si>
    <t>CASERIO NUEVO SUHAYA</t>
  </si>
  <si>
    <t>CASERIO PALESTINA- RIO PISQUI</t>
  </si>
  <si>
    <t>CASERIO PERLA DEL UCAYALI</t>
  </si>
  <si>
    <t>CASERIO PROGRESO</t>
  </si>
  <si>
    <t>CASERIO PUERTO ORIENTE</t>
  </si>
  <si>
    <t>CASERIO PUERTO PRADO - RIO PISQUI</t>
  </si>
  <si>
    <t>CASERIO SAN CARLOS</t>
  </si>
  <si>
    <t>CASERIO SAN FRANCISCO - RIO PISQUI</t>
  </si>
  <si>
    <t>CASERIO SAN JOSE - QUEBRADA JOSELITO</t>
  </si>
  <si>
    <t>CASERIO SAN JUAN DE TIPISHCA</t>
  </si>
  <si>
    <t>CASERIO SAN MARTIN DE TIPISHCA</t>
  </si>
  <si>
    <t>CASERIO SAN MIGUEL - AGUAS CALIENTES</t>
  </si>
  <si>
    <t>CASERIO SAN MIGUEL - AMAQUIRIA</t>
  </si>
  <si>
    <t>CASERIO SAN PEDRO - TIPISHCA</t>
  </si>
  <si>
    <t>CASERIO SAN JUAN DE AMAQUIRIA</t>
  </si>
  <si>
    <t>CASERIO SAN ROQUE</t>
  </si>
  <si>
    <t>CASERIO SANTA ROSA - "A" TIPISHCA</t>
  </si>
  <si>
    <t>CASERIO SANTA ROSA - "B"  TIPISHCA</t>
  </si>
  <si>
    <t>CASERIO SANTA ROSA DE CASHIBOYA</t>
  </si>
  <si>
    <t>CASERIO SHANAILLO</t>
  </si>
  <si>
    <t>CASERIO TRES HERMANOS - RIO PISQUI</t>
  </si>
  <si>
    <t>CASERIO TUMBES</t>
  </si>
  <si>
    <t>COMUNIDAD NATIVA 9 DE OCTUBRE - RIO PISQUI</t>
  </si>
  <si>
    <t>COMUNIDAD NATIVA BELLAVISTA</t>
  </si>
  <si>
    <t>COMUNIDAD NATIVA CANAAN DE CACHIYACU</t>
  </si>
  <si>
    <t>COMUNIDAD NATIVA CANAAN DE TIPISHCA</t>
  </si>
  <si>
    <t>COMUNIDAD NATIVA GOLONDRINA DE SUHUAYA</t>
  </si>
  <si>
    <t>COMUNIDAD NATIVA MANCO CAPAC - RIO PISQUI</t>
  </si>
  <si>
    <t>COMUNIDAD NATIVA  MILAGRITOS</t>
  </si>
  <si>
    <t>COMUNIDAD NATIVA NUEVO ALIANZA</t>
  </si>
  <si>
    <t>COMUNIDAD NATIVA NUEVO EDEN - RIO PISQUI</t>
  </si>
  <si>
    <t>COMUNIDAD NATIVA NUEVO LIBERTADOR</t>
  </si>
  <si>
    <t>COMUNIDAD NATIVA NUEVO OLAYA</t>
  </si>
  <si>
    <t>COMUNIDAD NATIVA NUEVO SUCRE</t>
  </si>
  <si>
    <t>COMUNIDAD NATIVA SAN FRANCISCO DE ROMPEO</t>
  </si>
  <si>
    <t>CASERIO NUEVO PALESTINA - NOAYA</t>
  </si>
  <si>
    <t>CASERIO SAN SALVADOR</t>
  </si>
  <si>
    <t>CASERIO HOLANDA</t>
  </si>
  <si>
    <t>LECHE</t>
  </si>
  <si>
    <t>HARINA</t>
  </si>
  <si>
    <t>.</t>
  </si>
  <si>
    <t>DNI ALMACENERA</t>
  </si>
  <si>
    <t>DNI PRESIDENTA</t>
  </si>
  <si>
    <t>PRESIDENTA</t>
  </si>
  <si>
    <t>ALMACENERA</t>
  </si>
  <si>
    <t>CASERIO BETANIA</t>
  </si>
  <si>
    <t xml:space="preserve"> </t>
  </si>
  <si>
    <t>Soles</t>
  </si>
  <si>
    <t>LO SIGUIENTE:</t>
  </si>
  <si>
    <t>COMUNIDAD NATIVA  SANTA MARIA - RIO PISQUI</t>
  </si>
  <si>
    <t>CASERIO MONTE DE SION - CHORRILLOS</t>
  </si>
  <si>
    <t>CASERIO LAS BRISAS</t>
  </si>
  <si>
    <t>NOMBRES DE COMITES</t>
  </si>
  <si>
    <t>CANT</t>
  </si>
  <si>
    <t>BENEFICIARIOS</t>
  </si>
  <si>
    <t>Amazonico</t>
  </si>
  <si>
    <t>FUENTE</t>
  </si>
  <si>
    <t>R.O</t>
  </si>
  <si>
    <t>META</t>
  </si>
  <si>
    <t>INSUMOS DEL PVL</t>
  </si>
  <si>
    <t>COMITÉ SOLICITANTE:</t>
  </si>
  <si>
    <t>UNIDAD DE MEDIDA</t>
  </si>
  <si>
    <t>PRECIO UNITARIO S/</t>
  </si>
  <si>
    <t>PRECIO TOTAL</t>
  </si>
  <si>
    <t>CANTIDAD</t>
  </si>
  <si>
    <t>UNIDAD</t>
  </si>
  <si>
    <t>CODIGO</t>
  </si>
  <si>
    <t>25 DE OCTUBRE</t>
  </si>
  <si>
    <t>MALECON VARGAS GUERRA</t>
  </si>
  <si>
    <t>Aurea luz Dariva Ristaño</t>
  </si>
  <si>
    <t>Luz Mareli Dariva Tuesta</t>
  </si>
  <si>
    <t>Maria Zulema Rodriguez Carhuapoma</t>
  </si>
  <si>
    <t>Lucita Chely Pashanasi Macedo</t>
  </si>
  <si>
    <t>Eolida Machoa Nunta</t>
  </si>
  <si>
    <t>Estrella Diaz Ochavano</t>
  </si>
  <si>
    <t xml:space="preserve">Elida Vargas Ramirez  </t>
  </si>
  <si>
    <t xml:space="preserve">Graciela Vargas Ramirez </t>
  </si>
  <si>
    <t>Wendy Carolina Prada Loja</t>
  </si>
  <si>
    <t>Marjori Brillite Silva Lopez</t>
  </si>
  <si>
    <t>Maria Cardenas Ahuanari</t>
  </si>
  <si>
    <t>Elita Macedo Shuña</t>
  </si>
  <si>
    <t>Isabel Celidonia Cachique morales</t>
  </si>
  <si>
    <t>Vita Rengifo Plaza</t>
  </si>
  <si>
    <t>Adriana Silvano Odicio</t>
  </si>
  <si>
    <t>Grecia Monica Taricuarima Silvano</t>
  </si>
  <si>
    <t>Rosibet Martinez Cumari</t>
  </si>
  <si>
    <t>Nancy Rubi Pua Tapullima</t>
  </si>
  <si>
    <t>Rosa Dani Marquez Cachique</t>
  </si>
  <si>
    <t>Grimanesa Luna Pisco</t>
  </si>
  <si>
    <t>Elensit Salas Cachique</t>
  </si>
  <si>
    <t>Mildres Pisco Tuanama</t>
  </si>
  <si>
    <t>Dali Nalleli Ramirez Talexis</t>
  </si>
  <si>
    <t>Bitia Talexis Pizango</t>
  </si>
  <si>
    <t>Milagro Natividad Pinedo Manihuari de Izqierdo</t>
  </si>
  <si>
    <t>Geylith Curinuqui Manihuari</t>
  </si>
  <si>
    <t xml:space="preserve">Sadith Urias Gonzales </t>
  </si>
  <si>
    <t>Maria Nieves De la Cruz Arevalo</t>
  </si>
  <si>
    <t>Margia Martinez Sinacay</t>
  </si>
  <si>
    <t>Ercilia Sinuiri Picon</t>
  </si>
  <si>
    <t>Glendi Lisbeth Cordova Villasis</t>
  </si>
  <si>
    <t>Enith Pacaya Maytahuari</t>
  </si>
  <si>
    <t>Maribel Vasquez Cachique</t>
  </si>
  <si>
    <t>Corin Curichimba Arirama</t>
  </si>
  <si>
    <t>Jenny Padilla Silvano de Borgues</t>
  </si>
  <si>
    <t>Amelia Capuena Tapullima</t>
  </si>
  <si>
    <t>Asalia Picon Manicuama</t>
  </si>
  <si>
    <t xml:space="preserve">Paula Salazar Garcia </t>
  </si>
  <si>
    <t>Rosa Pacaya Silva</t>
  </si>
  <si>
    <t>Herta Luz Ochavano Tananta</t>
  </si>
  <si>
    <t>Sara Justina Macedo Luna</t>
  </si>
  <si>
    <t xml:space="preserve">Litza Meri Soria Rios </t>
  </si>
  <si>
    <t>Elda Patricia Pacaya Pasmiño</t>
  </si>
  <si>
    <t>Susan Gloria Pacaya Murayari</t>
  </si>
  <si>
    <t xml:space="preserve">Estefany Uribe Hoyos </t>
  </si>
  <si>
    <t>Chepa Villacrez Carrera</t>
  </si>
  <si>
    <t>Judith Vargas Pizango</t>
  </si>
  <si>
    <t>Juana Tananta Satalay</t>
  </si>
  <si>
    <t>Virginia Dahua Soria</t>
  </si>
  <si>
    <t>Dina Lucita Capunahuari</t>
  </si>
  <si>
    <t>Mishell Linares Rivas</t>
  </si>
  <si>
    <t>Jhen Jhumira Apuela Manicuama</t>
  </si>
  <si>
    <t xml:space="preserve">Rosario Alva Estrella </t>
  </si>
  <si>
    <t xml:space="preserve">Gladis Dioseli Alvarado Lopez </t>
  </si>
  <si>
    <t>Vesenia Lucita Ventura Wesember</t>
  </si>
  <si>
    <t>Ana Pianchachi Shilamaus</t>
  </si>
  <si>
    <t>Doylita Betsy Ramirez Lomas</t>
  </si>
  <si>
    <t>Blanaca Jasmina Pacaya Salas</t>
  </si>
  <si>
    <t xml:space="preserve">Cleofe Diaz Amasifuen  </t>
  </si>
  <si>
    <t>Reyna Milagros Huaman Rengifo</t>
  </si>
  <si>
    <t>Leyda Luz Ruiz Villasis</t>
  </si>
  <si>
    <t>Berita Ochavano Sangama</t>
  </si>
  <si>
    <t>Blanca Flor Tuanama Ponce</t>
  </si>
  <si>
    <t>Ema Nolorbe Curmayari</t>
  </si>
  <si>
    <t xml:space="preserve">Dionisia Bardales Saavedra </t>
  </si>
  <si>
    <t>Sarelit Shupingahua Lozano</t>
  </si>
  <si>
    <t>Nallely Mondaluisa Sinuiri</t>
  </si>
  <si>
    <t>Jhovana Flores Silvano</t>
  </si>
  <si>
    <t>Gessica Echevarria Flores</t>
  </si>
  <si>
    <t>Gisela Labinto Villanueva</t>
  </si>
  <si>
    <t xml:space="preserve">Arminda Muñoz Macedo </t>
  </si>
  <si>
    <t xml:space="preserve">Marilu Chanchari Alvarado </t>
  </si>
  <si>
    <t>Mili Ruiz Pinedo</t>
  </si>
  <si>
    <t>Rosa Berenice Ruiz Ruiz</t>
  </si>
  <si>
    <t xml:space="preserve">Elia Silva Garcia </t>
  </si>
  <si>
    <t>Naty Esther Maldonado Silva</t>
  </si>
  <si>
    <t>Luz Maribel Rengifo Curinuqui</t>
  </si>
  <si>
    <t>Erika Rengifo Curinuqui</t>
  </si>
  <si>
    <t>Marielith Tello Armas</t>
  </si>
  <si>
    <t>Abdias Tello Armas</t>
  </si>
  <si>
    <t>Ruth Sarai Tanchiva Urias</t>
  </si>
  <si>
    <t>Isiela Urias Valera</t>
  </si>
  <si>
    <t>Luz Margarita Inuma Gordon</t>
  </si>
  <si>
    <t xml:space="preserve">Estefita Laichi Natorce </t>
  </si>
  <si>
    <t>Mirna Garcia Gonzales</t>
  </si>
  <si>
    <t>Lidia Carmina Davila Ahuanari</t>
  </si>
  <si>
    <t xml:space="preserve">Jany Jackelin Venancino Guimaraes </t>
  </si>
  <si>
    <t>Damaris Tutucima Romaina</t>
  </si>
  <si>
    <t>Meri Casilda Sunuiri Sanancino</t>
  </si>
  <si>
    <t>Claudia Sofia Tuesta Rojas</t>
  </si>
  <si>
    <t>Jesica Gonzales Maldonado</t>
  </si>
  <si>
    <t>Evalina Campos Curitima</t>
  </si>
  <si>
    <t>Mezclas de harinas precocidas de arroz, qui_</t>
  </si>
  <si>
    <t>nua platano y soya con hojuelas de avena</t>
  </si>
  <si>
    <t>azucarada, enriquecidas con vitaminas y</t>
  </si>
  <si>
    <t>minerales</t>
  </si>
  <si>
    <t xml:space="preserve"> 12 DE NOVIEMBRE</t>
  </si>
  <si>
    <t>COMUNIDAD NATIVA SANTA ROSA B RIO PISQUI</t>
  </si>
  <si>
    <t>Mirna Zarai Vela Gordon</t>
  </si>
  <si>
    <t>Genta Enith Gordon Tangua</t>
  </si>
  <si>
    <t xml:space="preserve"> 13 DE MAYO</t>
  </si>
  <si>
    <t xml:space="preserve"> 24 DE DICIEMBRE</t>
  </si>
  <si>
    <t>24 DE NOVIEMBRE</t>
  </si>
  <si>
    <t>26 DE ABRIL</t>
  </si>
  <si>
    <t xml:space="preserve"> 28 DE JULIO</t>
  </si>
  <si>
    <t xml:space="preserve"> 7 DE JUNIO</t>
  </si>
  <si>
    <t>8 DE MAYO A</t>
  </si>
  <si>
    <t xml:space="preserve"> 8 DE MAYO B</t>
  </si>
  <si>
    <t>8 DE MAYO C</t>
  </si>
  <si>
    <t>8 DE MAYO D</t>
  </si>
  <si>
    <t xml:space="preserve"> ALFONSO UGARTE A</t>
  </si>
  <si>
    <t>ALFONSO UGARTE B</t>
  </si>
  <si>
    <t xml:space="preserve"> BARTOLOME RUIZ A</t>
  </si>
  <si>
    <t>BARTOLOME RUIZ B</t>
  </si>
  <si>
    <t>CAMPO VERDE</t>
  </si>
  <si>
    <t>CAMPO VERDE B</t>
  </si>
  <si>
    <t>FAUSTINO ZAPICO RAMOS A</t>
  </si>
  <si>
    <t>FAUSTINO ZAPICO RAMOS B</t>
  </si>
  <si>
    <t>JERUSALEN C</t>
  </si>
  <si>
    <t>JUAN PABLO II DE SHIRINGAL</t>
  </si>
  <si>
    <t>LA MARINA</t>
  </si>
  <si>
    <t>LAS BELLAS LOMAS</t>
  </si>
  <si>
    <t>LAS COLINAS</t>
  </si>
  <si>
    <t xml:space="preserve"> LAS VEGAS DE MAQUIA</t>
  </si>
  <si>
    <t>LEONCIO ZEVALLOS FLORES B</t>
  </si>
  <si>
    <t>LOS ANGELES</t>
  </si>
  <si>
    <t>LOS PORTALES DE NUEVO PROGRESO</t>
  </si>
  <si>
    <t>MANUEL E ROJAS A</t>
  </si>
  <si>
    <t xml:space="preserve"> MANUEL E ROJAS B</t>
  </si>
  <si>
    <t xml:space="preserve"> MANUEL E ROJAS C</t>
  </si>
  <si>
    <t xml:space="preserve"> MANUEL E ROJAS D</t>
  </si>
  <si>
    <t xml:space="preserve"> MAQUIA A</t>
  </si>
  <si>
    <t>MARACANA</t>
  </si>
  <si>
    <t xml:space="preserve"> MARISCAL CASTILLA</t>
  </si>
  <si>
    <t xml:space="preserve"> MIRAFLORES</t>
  </si>
  <si>
    <t xml:space="preserve"> MOLINO</t>
  </si>
  <si>
    <t>NUEVO LORETO A</t>
  </si>
  <si>
    <t>NUEVO LORETO B</t>
  </si>
  <si>
    <t>NUEVO PROGRESO</t>
  </si>
  <si>
    <t>PAQUITO RAMIREZ</t>
  </si>
  <si>
    <t xml:space="preserve"> PARAISO</t>
  </si>
  <si>
    <t>PASAJE BELEN</t>
  </si>
  <si>
    <t xml:space="preserve"> PASAJE JOSE OLAYA</t>
  </si>
  <si>
    <t>PASAJE REQUENA</t>
  </si>
  <si>
    <t>PASAJE SAMUEL BARSESATH</t>
  </si>
  <si>
    <t>PASAJE SANTA ROSA</t>
  </si>
  <si>
    <t xml:space="preserve"> PETRO PERU B</t>
  </si>
  <si>
    <t>PROLONGACION MOISES RENGIFO A</t>
  </si>
  <si>
    <t>PROLONGACION MOISES RENGIFO B</t>
  </si>
  <si>
    <t>PUCALLPA A</t>
  </si>
  <si>
    <t xml:space="preserve"> PUCALLPA B</t>
  </si>
  <si>
    <t>RICARDO VALLES</t>
  </si>
  <si>
    <t>SAN FRANCISCO B</t>
  </si>
  <si>
    <t xml:space="preserve"> SAN JOSE DE JERUSALEN</t>
  </si>
  <si>
    <t>SIMON BOLIVAR</t>
  </si>
  <si>
    <t>COMUNIDAD NATIVA EMANUEL RIO PISQUI EMANUEL - RIO PISQUI</t>
  </si>
  <si>
    <t>NERY RENGIFO CAMPOS</t>
  </si>
  <si>
    <t>WILMA VALERA SINUIRI</t>
  </si>
  <si>
    <t>DIANI EUNICE CAUPER MAGIN</t>
  </si>
  <si>
    <t>CASERIO FRAY MARTIN RIO PISQUI</t>
  </si>
  <si>
    <t>COMUNIDAD NATIVA CHARASMANA - RIO PISQUI</t>
  </si>
  <si>
    <t>NORMA PIZANGO MAGIN</t>
  </si>
  <si>
    <t>COMUNIDAD NATIVA IRAZOLA</t>
  </si>
  <si>
    <t>COMUNIDAD NATIVA SANTA CLARA</t>
  </si>
  <si>
    <t>COMUNIDAD NATIVA TRES UNIDOS - RIO PISQUI</t>
  </si>
  <si>
    <t>COMUNIDAD NATIVA TUPAC AMARU - RIO PISQUI</t>
  </si>
  <si>
    <t>COMUNIDAD NATIVA VENCEDOR - RIO PISQUI</t>
  </si>
  <si>
    <t>YANELI FERNANDEZ VASQUEZ</t>
  </si>
  <si>
    <t>YENI VIVIANA TITO ESPINOZA</t>
  </si>
  <si>
    <t>JULIA AHUANARI SINUIRI</t>
  </si>
  <si>
    <t>RIOJUANA FLORES CORTES</t>
  </si>
  <si>
    <t>AGATA ANTONIA SILUA ARTETA</t>
  </si>
  <si>
    <t>ROSA CECILIA MELENDEZ DASILVA</t>
  </si>
  <si>
    <t>MAYRA MACEDO MARIN</t>
  </si>
  <si>
    <t>JULIA TANANTA MUÑOZ</t>
  </si>
  <si>
    <t>WILMA TARICUARIMA AHUANARI</t>
  </si>
  <si>
    <t>GIOVANNA TARICUARIMA INUMA</t>
  </si>
  <si>
    <t>SANDRA TITIANA TUESTA PEÑA</t>
  </si>
  <si>
    <t>ROSA ELITA OCHAVANO SINUIRI</t>
  </si>
  <si>
    <t>ISABEL MARIA AVALOS FLORES</t>
  </si>
  <si>
    <t>SARITA TUESTA CARASSA</t>
  </si>
  <si>
    <t>LERY MARIN CHASHNAMOTE</t>
  </si>
  <si>
    <t>ROSITA LUZ REATEGUI DEL AGUILA</t>
  </si>
  <si>
    <t>TILDA ANGELINA TAFUR RAMIREZ</t>
  </si>
  <si>
    <t>CINTIA PAOLA AMASIFUEN RUIZ</t>
  </si>
  <si>
    <t>MARIA DEL PILAR MARTINEZ IÑIPE</t>
  </si>
  <si>
    <t>CRISTEL DANITZA CURMAYARI RUIZ</t>
  </si>
  <si>
    <t>ARIANA SADIT PANDURO TORRES</t>
  </si>
  <si>
    <t>PATRICIA CHAVEZ GUTIERREZ</t>
  </si>
  <si>
    <t>LOS OLIVOS</t>
  </si>
  <si>
    <t>LORENA ZEVALLOS MAMOLADA</t>
  </si>
  <si>
    <t>FLOR DE MARIA TUESTA SAJAMI</t>
  </si>
  <si>
    <t>DINA PACAYA CANAYO</t>
  </si>
  <si>
    <t>LIZBETH TORRES ARMAS</t>
  </si>
  <si>
    <t>REYNA AHUANARI CAMUTURI</t>
  </si>
  <si>
    <t>JANEY NUNTA TENAZOA</t>
  </si>
  <si>
    <t>MARTHA GRACIELA CAIMATA HUAYABA</t>
  </si>
  <si>
    <t>JESSY FREYSI SHAPIAMA OCHAVANO</t>
  </si>
  <si>
    <t>GABY DANIXA RAMIREZ PANDURO</t>
  </si>
  <si>
    <t>MIRTA ELIZABETH CHAVEZ MANRRIQUE</t>
  </si>
  <si>
    <t>ATENAS ARCENTALES MARTINES</t>
  </si>
  <si>
    <t>LICETH ANGULO GUARDIA</t>
  </si>
  <si>
    <t>LEIDI DIANA RAMIREZ CEVALLOS</t>
  </si>
  <si>
    <t>KATTY LEON HOYOS</t>
  </si>
  <si>
    <t>ANNIE NICOLL RICKHOF YAICATE</t>
  </si>
  <si>
    <t>LUTH SARAID BARTRA URQUIA</t>
  </si>
  <si>
    <t>ROSOARIO MEDALI PEREZ CASTERNOQUE</t>
  </si>
  <si>
    <t>MARIA ISABEL ABISRROL MOZOMBITE</t>
  </si>
  <si>
    <t>BLANCA FLOR TUISIMA TUANAMA</t>
  </si>
  <si>
    <t>NORA VALLES GUERRA</t>
  </si>
  <si>
    <t>MILI MILAGROS TAMANI SILVANO</t>
  </si>
  <si>
    <t>MARIA CRUSILDA SINARAHUA MACHOA</t>
  </si>
  <si>
    <t>JULI LOPEZ HUANIO</t>
  </si>
  <si>
    <t>AMPARITO SINUIRI TORRES</t>
  </si>
  <si>
    <t>MARISELA ISUIZA TANANTA</t>
  </si>
  <si>
    <t>OTILIA PLAZA USHIÑAHUA</t>
  </si>
  <si>
    <t>LILIANA SERRANO MARIN</t>
  </si>
  <si>
    <t>NICIDA ICAHUATE PINCHI</t>
  </si>
  <si>
    <t>ADOLIA YUYARIMA PACAYA</t>
  </si>
  <si>
    <t>REYNA ELIZA LOPEZ CERVANTES</t>
  </si>
  <si>
    <t>KATY LIZ DEL AGUILA IZUISA</t>
  </si>
  <si>
    <t>SADITH OLIVEIRA PLAZA</t>
  </si>
  <si>
    <t>MARTHA SANTAMARIA ALVARADO</t>
  </si>
  <si>
    <t>JOELA JOVANA RENGIFO HOYOS</t>
  </si>
  <si>
    <t>LEYSI VIVIANA TAFUR DEL AGUILA</t>
  </si>
  <si>
    <t>FLOR AMELIA VELA SATALAY</t>
  </si>
  <si>
    <t>LUZ MELITA RUIZ URQUIA</t>
  </si>
  <si>
    <t>NANCY ZUMAETA QUEVEDO</t>
  </si>
  <si>
    <t>MERLITA SHAPIAMA GONZALES</t>
  </si>
  <si>
    <t>CARMEN ROSA GARCIA CHOTA</t>
  </si>
  <si>
    <t>BEATRIS DELFINA FLORES MACEDO</t>
  </si>
  <si>
    <t>LITA GIOVANI QUIO COPUNAHUARI</t>
  </si>
  <si>
    <t>ELSA EMERITA TUESTA SAJAMI</t>
  </si>
  <si>
    <t>SILVIA GABRIELA RODRIGUES PEÑA</t>
  </si>
  <si>
    <t>LUPE CASHU AHUANARI</t>
  </si>
  <si>
    <t>GILDA ROSA SALDAÑA BARBARAN</t>
  </si>
  <si>
    <t>MIRNA TENAZOA NOLORBE</t>
  </si>
  <si>
    <t>MARICARMEN TORREJON MARTINEZ</t>
  </si>
  <si>
    <t>KELLY SAJAMI PAREDES</t>
  </si>
  <si>
    <t>MARUVENIT NOLORVE TORREE</t>
  </si>
  <si>
    <t>ISABEL MARIN SINARAHUA</t>
  </si>
  <si>
    <t>LEIDY YAY CARDENAS</t>
  </si>
  <si>
    <t>MILIANITA RAMIREZ MARTINEZ</t>
  </si>
  <si>
    <t>IDA OCHAVANO ALOMIAS</t>
  </si>
  <si>
    <t>CELINE MARGARITA FASABI MURRIETA</t>
  </si>
  <si>
    <t>BLANCA LUCECITA GARCIA GARCIA</t>
  </si>
  <si>
    <t>OLGA DEL PILAR DIAZ OCAMPO</t>
  </si>
  <si>
    <t>FIANNI VELA RAMIREZ</t>
  </si>
  <si>
    <t>MEYDI RUIZ AMASIFUEN</t>
  </si>
  <si>
    <t>JARLY LISSET HIDALGO TUESTA</t>
  </si>
  <si>
    <t>CESIA RAMOS PLAZA</t>
  </si>
  <si>
    <t>MARIA EMELINA SILVANO YAHUARCANI</t>
  </si>
  <si>
    <t>ENERINA VELA PINEDO</t>
  </si>
  <si>
    <t>TEODOSIA QUIO CORDOVA</t>
  </si>
  <si>
    <t>TERESITA PAIMA IPUSHIMA</t>
  </si>
  <si>
    <t>JUANITA IRIS GARCIA CHU</t>
  </si>
  <si>
    <t>NORA MARIN PLAZA</t>
  </si>
  <si>
    <t>MIRNA SILVANO MANIHUARI</t>
  </si>
  <si>
    <t>MILUSCA CURITIMA HUARMIYURI</t>
  </si>
  <si>
    <t>GINA PAOLA PEREIRA MOZOMBITE</t>
  </si>
  <si>
    <t>INDRIT AMASIFUEN DIAZ</t>
  </si>
  <si>
    <t>CINTIA MILAGROS CINACAISIVA</t>
  </si>
  <si>
    <t>AMELIA CASTILLO SANGAMA</t>
  </si>
  <si>
    <t>MARIA DE JESUS MACEDO RUIZ</t>
  </si>
  <si>
    <t>JOELA DAYANA PEREA RENGIFO</t>
  </si>
  <si>
    <t>MARITA JUSTINA PISANGO PLAZA</t>
  </si>
  <si>
    <t>SILVIA MARINA DEL CASTILLO NARVAES</t>
  </si>
  <si>
    <t>HUDIANA SANGAMA SALAZAR</t>
  </si>
  <si>
    <t>MEGUI PISCO LATORRE</t>
  </si>
  <si>
    <t>LIZ TAMINCHI PAIFA</t>
  </si>
  <si>
    <t>CLARITA PANDURO SINACAISIVA</t>
  </si>
  <si>
    <t>PAOLA DORIN PASHANASI FLORES</t>
  </si>
  <si>
    <t>RESPONSABLE DEL PVL                        CPC. JOEL E. CLARIANA SAAVEDRA</t>
  </si>
  <si>
    <t>COMUNIDAD NATIVA SAN PABLO DE SINUYA</t>
  </si>
  <si>
    <t>DEVORA VASQUEZ PEREZ</t>
  </si>
  <si>
    <t>CLAUDIA SHAHUANO CHANCHARI</t>
  </si>
  <si>
    <t>ABRIL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</si>
</sst>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S/&quot;\ * #,##0.00_-;\-&quot;S/&quot;\ * #,##0.00_-;_-&quot;S/&quot;\ * &quot;-&quot;??_-;_-@_-"/>
    <numFmt numFmtId="164" formatCode="00"/>
    <numFmt numFmtId="165" formatCode="00000000"/>
    <numFmt numFmtId="166" formatCode="000000"/>
    <numFmt numFmtId="167" formatCode="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 tint="-0.249977111117893"/>
      <name val="Arial"/>
      <family val="2"/>
    </font>
    <font>
      <b/>
      <sz val="10"/>
      <color theme="4" tint="-0.249977111117893"/>
      <name val="Arial"/>
      <family val="2"/>
    </font>
    <font>
      <b/>
      <i/>
      <sz val="11"/>
      <color theme="4" tint="-0.249977111117893"/>
      <name val="Arial"/>
      <family val="2"/>
    </font>
    <font>
      <b/>
      <sz val="14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9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b/>
      <sz val="7"/>
      <color theme="4" tint="-0.249977111117893"/>
      <name val="Arial"/>
      <family val="2"/>
    </font>
    <font>
      <b/>
      <sz val="12"/>
      <color theme="4" tint="-0.249977111117893"/>
      <name val="Arial"/>
      <family val="2"/>
    </font>
    <font>
      <b/>
      <i/>
      <sz val="8"/>
      <color theme="4" tint="-0.249977111117893"/>
      <name val="Arial"/>
      <family val="2"/>
    </font>
    <font>
      <sz val="9"/>
      <color theme="4" tint="-0.249977111117893"/>
      <name val="Arial"/>
      <family val="2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rgb="FFD3D3D3"/>
      </left>
      <right/>
      <top style="thin">
        <color rgb="FFD3D3D3"/>
      </top>
      <bottom style="thin">
        <color rgb="FFD3D3D3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7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0" xfId="0" applyFill="1"/>
    <xf numFmtId="0" fontId="2" fillId="2" borderId="0" xfId="0" applyFont="1" applyFill="1" applyAlignment="1">
      <alignment horizontal="center"/>
    </xf>
    <xf numFmtId="1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1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0" fillId="2" borderId="1" xfId="0" applyNumberForma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top" wrapText="1"/>
    </xf>
    <xf numFmtId="1" fontId="2" fillId="3" borderId="1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165" fontId="0" fillId="2" borderId="1" xfId="0" applyNumberFormat="1" applyFill="1" applyBorder="1" applyAlignment="1">
      <alignment horizontal="center" vertical="center"/>
    </xf>
    <xf numFmtId="0" fontId="9" fillId="4" borderId="16" xfId="0" applyFont="1" applyFill="1" applyBorder="1" applyAlignment="1" applyProtection="1">
      <alignment horizontal="center" vertical="top"/>
      <protection locked="0"/>
    </xf>
    <xf numFmtId="0" fontId="7" fillId="0" borderId="20" xfId="0" applyFont="1" applyBorder="1" applyAlignment="1">
      <alignment horizontal="center" vertical="center"/>
    </xf>
    <xf numFmtId="0" fontId="7" fillId="4" borderId="16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37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164" fontId="7" fillId="0" borderId="40" xfId="0" applyNumberFormat="1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2" borderId="25" xfId="0" applyFont="1" applyFill="1" applyBorder="1" applyAlignment="1">
      <alignment vertical="center"/>
    </xf>
    <xf numFmtId="0" fontId="7" fillId="2" borderId="0" xfId="0" applyFont="1" applyFill="1" applyAlignment="1">
      <alignment vertical="center"/>
    </xf>
    <xf numFmtId="0" fontId="7" fillId="0" borderId="26" xfId="0" applyFont="1" applyBorder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7" fillId="0" borderId="40" xfId="0" applyFont="1" applyBorder="1" applyAlignment="1">
      <alignment horizontal="center" vertical="center"/>
    </xf>
    <xf numFmtId="167" fontId="7" fillId="0" borderId="49" xfId="0" applyNumberFormat="1" applyFont="1" applyBorder="1" applyAlignment="1">
      <alignment horizontal="center" vertical="center"/>
    </xf>
    <xf numFmtId="0" fontId="13" fillId="4" borderId="40" xfId="0" applyFont="1" applyFill="1" applyBorder="1" applyAlignment="1">
      <alignment horizontal="center" vertical="center"/>
    </xf>
    <xf numFmtId="0" fontId="13" fillId="4" borderId="40" xfId="0" applyFont="1" applyFill="1" applyBorder="1" applyAlignment="1">
      <alignment vertical="center"/>
    </xf>
    <xf numFmtId="0" fontId="8" fillId="4" borderId="37" xfId="0" applyFont="1" applyFill="1" applyBorder="1" applyAlignment="1">
      <alignment vertical="center"/>
    </xf>
    <xf numFmtId="0" fontId="7" fillId="0" borderId="32" xfId="0" applyFont="1" applyBorder="1" applyAlignment="1">
      <alignment horizontal="center"/>
    </xf>
    <xf numFmtId="167" fontId="7" fillId="0" borderId="12" xfId="0" applyNumberFormat="1" applyFont="1" applyBorder="1" applyAlignment="1">
      <alignment horizontal="center"/>
    </xf>
    <xf numFmtId="1" fontId="7" fillId="2" borderId="12" xfId="0" applyNumberFormat="1" applyFont="1" applyFill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7" fillId="0" borderId="0" xfId="0" applyFont="1"/>
    <xf numFmtId="0" fontId="12" fillId="0" borderId="32" xfId="0" applyFont="1" applyBorder="1"/>
    <xf numFmtId="0" fontId="8" fillId="0" borderId="11" xfId="0" applyFont="1" applyBorder="1" applyAlignment="1">
      <alignment horizontal="center"/>
    </xf>
    <xf numFmtId="1" fontId="7" fillId="0" borderId="12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167" fontId="7" fillId="0" borderId="1" xfId="0" applyNumberFormat="1" applyFont="1" applyBorder="1" applyAlignment="1">
      <alignment horizontal="center"/>
    </xf>
    <xf numFmtId="1" fontId="7" fillId="2" borderId="1" xfId="0" applyNumberFormat="1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2" fillId="0" borderId="23" xfId="0" applyFont="1" applyBorder="1"/>
    <xf numFmtId="0" fontId="8" fillId="0" borderId="4" xfId="0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0" fontId="7" fillId="0" borderId="1" xfId="0" applyFont="1" applyBorder="1"/>
    <xf numFmtId="0" fontId="7" fillId="2" borderId="1" xfId="0" applyFont="1" applyFill="1" applyBorder="1"/>
    <xf numFmtId="0" fontId="7" fillId="0" borderId="23" xfId="0" applyFont="1" applyBorder="1"/>
    <xf numFmtId="0" fontId="7" fillId="0" borderId="5" xfId="0" applyFont="1" applyBorder="1"/>
    <xf numFmtId="0" fontId="7" fillId="2" borderId="5" xfId="0" applyFont="1" applyFill="1" applyBorder="1"/>
    <xf numFmtId="0" fontId="7" fillId="0" borderId="30" xfId="0" applyFont="1" applyBorder="1"/>
    <xf numFmtId="0" fontId="8" fillId="0" borderId="9" xfId="0" applyFont="1" applyBorder="1" applyAlignment="1">
      <alignment horizontal="center"/>
    </xf>
    <xf numFmtId="0" fontId="7" fillId="0" borderId="3" xfId="0" applyFont="1" applyBorder="1"/>
    <xf numFmtId="0" fontId="8" fillId="0" borderId="1" xfId="0" applyFont="1" applyBorder="1" applyAlignment="1">
      <alignment horizontal="center"/>
    </xf>
    <xf numFmtId="0" fontId="7" fillId="2" borderId="3" xfId="0" applyFont="1" applyFill="1" applyBorder="1"/>
    <xf numFmtId="0" fontId="7" fillId="2" borderId="23" xfId="0" applyFont="1" applyFill="1" applyBorder="1"/>
    <xf numFmtId="0" fontId="8" fillId="2" borderId="1" xfId="0" applyFont="1" applyFill="1" applyBorder="1" applyAlignment="1">
      <alignment horizontal="center"/>
    </xf>
    <xf numFmtId="0" fontId="7" fillId="2" borderId="12" xfId="0" applyFont="1" applyFill="1" applyBorder="1"/>
    <xf numFmtId="0" fontId="7" fillId="2" borderId="0" xfId="0" applyFont="1" applyFill="1"/>
    <xf numFmtId="0" fontId="7" fillId="2" borderId="32" xfId="0" applyFont="1" applyFill="1" applyBorder="1"/>
    <xf numFmtId="0" fontId="8" fillId="2" borderId="11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7" fillId="0" borderId="40" xfId="0" applyFont="1" applyBorder="1"/>
    <xf numFmtId="0" fontId="7" fillId="0" borderId="37" xfId="0" applyFont="1" applyBorder="1"/>
    <xf numFmtId="0" fontId="8" fillId="0" borderId="39" xfId="0" applyFont="1" applyBorder="1" applyAlignment="1">
      <alignment horizontal="center"/>
    </xf>
    <xf numFmtId="0" fontId="7" fillId="0" borderId="25" xfId="0" applyFont="1" applyBorder="1"/>
    <xf numFmtId="0" fontId="7" fillId="0" borderId="8" xfId="0" applyFont="1" applyBorder="1"/>
    <xf numFmtId="0" fontId="7" fillId="0" borderId="0" xfId="0" applyFont="1" applyAlignment="1">
      <alignment horizontal="center"/>
    </xf>
    <xf numFmtId="44" fontId="7" fillId="0" borderId="0" xfId="1" applyFont="1" applyBorder="1" applyAlignment="1">
      <alignment horizontal="center"/>
    </xf>
    <xf numFmtId="0" fontId="7" fillId="0" borderId="15" xfId="0" applyFont="1" applyBorder="1"/>
    <xf numFmtId="0" fontId="13" fillId="0" borderId="0" xfId="0" applyFont="1" applyAlignment="1">
      <alignment horizontal="center" wrapText="1"/>
    </xf>
    <xf numFmtId="0" fontId="13" fillId="0" borderId="0" xfId="0" applyFont="1" applyAlignment="1">
      <alignment wrapText="1"/>
    </xf>
    <xf numFmtId="0" fontId="11" fillId="0" borderId="0" xfId="0" applyFont="1"/>
    <xf numFmtId="0" fontId="16" fillId="0" borderId="0" xfId="0" applyFont="1" applyAlignment="1">
      <alignment wrapText="1"/>
    </xf>
    <xf numFmtId="0" fontId="7" fillId="0" borderId="26" xfId="0" applyFont="1" applyBorder="1" applyAlignment="1">
      <alignment horizontal="center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3" fillId="0" borderId="26" xfId="0" applyFont="1" applyBorder="1" applyAlignment="1">
      <alignment horizontal="left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11" fillId="0" borderId="25" xfId="0" applyFont="1" applyBorder="1"/>
    <xf numFmtId="0" fontId="11" fillId="0" borderId="26" xfId="0" applyFont="1" applyBorder="1"/>
    <xf numFmtId="0" fontId="11" fillId="0" borderId="23" xfId="0" applyFont="1" applyBorder="1" applyAlignment="1">
      <alignment horizontal="center"/>
    </xf>
    <xf numFmtId="0" fontId="11" fillId="0" borderId="6" xfId="0" applyFont="1" applyBorder="1"/>
    <xf numFmtId="0" fontId="18" fillId="0" borderId="0" xfId="0" applyFont="1"/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/>
    <xf numFmtId="0" fontId="11" fillId="0" borderId="33" xfId="0" applyFont="1" applyBorder="1"/>
    <xf numFmtId="0" fontId="11" fillId="0" borderId="13" xfId="0" applyFont="1" applyBorder="1"/>
    <xf numFmtId="0" fontId="7" fillId="0" borderId="13" xfId="0" applyFont="1" applyBorder="1" applyAlignment="1">
      <alignment vertical="top"/>
    </xf>
    <xf numFmtId="165" fontId="0" fillId="0" borderId="1" xfId="0" applyNumberFormat="1" applyBorder="1" applyAlignment="1" applyProtection="1">
      <alignment horizontal="center" vertical="center"/>
      <protection locked="0"/>
    </xf>
    <xf numFmtId="0" fontId="2" fillId="3" borderId="4" xfId="0" applyFont="1" applyFill="1" applyBorder="1" applyAlignment="1">
      <alignment horizontal="center" vertical="center" wrapText="1"/>
    </xf>
    <xf numFmtId="165" fontId="0" fillId="0" borderId="1" xfId="0" applyNumberFormat="1" applyBorder="1" applyAlignment="1" applyProtection="1">
      <alignment horizontal="center"/>
      <protection locked="0"/>
    </xf>
    <xf numFmtId="0" fontId="3" fillId="0" borderId="57" xfId="0" applyFont="1" applyBorder="1" applyAlignment="1">
      <alignment horizontal="center" vertical="top" wrapText="1" readingOrder="1"/>
    </xf>
    <xf numFmtId="0" fontId="3" fillId="0" borderId="0" xfId="0" applyFont="1" applyAlignment="1">
      <alignment horizontal="center" vertical="top" wrapText="1" readingOrder="1"/>
    </xf>
    <xf numFmtId="165" fontId="0" fillId="2" borderId="1" xfId="0" applyNumberFormat="1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165" fontId="0" fillId="2" borderId="1" xfId="0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1" xfId="0" applyBorder="1"/>
    <xf numFmtId="0" fontId="0" fillId="5" borderId="0" xfId="0" applyFill="1"/>
    <xf numFmtId="0" fontId="0" fillId="0" borderId="1" xfId="0" applyBorder="1" applyAlignment="1">
      <alignment horizontal="center"/>
    </xf>
    <xf numFmtId="165" fontId="0" fillId="0" borderId="1" xfId="0" applyNumberFormat="1" applyBorder="1"/>
    <xf numFmtId="0" fontId="2" fillId="2" borderId="1" xfId="0" applyFont="1" applyFill="1" applyBorder="1" applyAlignment="1">
      <alignment horizontal="center"/>
    </xf>
    <xf numFmtId="0" fontId="4" fillId="0" borderId="52" xfId="0" applyFont="1" applyBorder="1" applyAlignment="1" applyProtection="1">
      <alignment horizontal="center"/>
      <protection locked="0"/>
    </xf>
    <xf numFmtId="0" fontId="13" fillId="0" borderId="10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29" xfId="0" applyFont="1" applyBorder="1" applyAlignment="1">
      <alignment horizontal="center"/>
    </xf>
    <xf numFmtId="0" fontId="13" fillId="0" borderId="2" xfId="0" applyFont="1" applyBorder="1" applyAlignment="1">
      <alignment horizontal="left"/>
    </xf>
    <xf numFmtId="0" fontId="13" fillId="0" borderId="3" xfId="0" applyFont="1" applyBorder="1" applyAlignment="1">
      <alignment horizontal="left"/>
    </xf>
    <xf numFmtId="0" fontId="13" fillId="0" borderId="29" xfId="0" applyFont="1" applyBorder="1" applyAlignment="1">
      <alignment horizontal="left"/>
    </xf>
    <xf numFmtId="0" fontId="13" fillId="0" borderId="7" xfId="0" applyFont="1" applyBorder="1" applyAlignment="1">
      <alignment horizontal="left"/>
    </xf>
    <xf numFmtId="0" fontId="13" fillId="0" borderId="8" xfId="0" applyFont="1" applyBorder="1" applyAlignment="1">
      <alignment horizontal="left"/>
    </xf>
    <xf numFmtId="0" fontId="13" fillId="0" borderId="28" xfId="0" applyFont="1" applyBorder="1" applyAlignment="1">
      <alignment horizontal="left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29" xfId="0" applyFont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29" xfId="0" applyFont="1" applyFill="1" applyBorder="1" applyAlignment="1">
      <alignment horizontal="center"/>
    </xf>
    <xf numFmtId="0" fontId="7" fillId="0" borderId="38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wrapText="1"/>
    </xf>
    <xf numFmtId="0" fontId="13" fillId="0" borderId="6" xfId="0" applyFont="1" applyBorder="1" applyAlignment="1">
      <alignment horizont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2" fontId="10" fillId="0" borderId="10" xfId="1" applyNumberFormat="1" applyFont="1" applyBorder="1" applyAlignment="1">
      <alignment horizontal="center"/>
    </xf>
    <xf numFmtId="2" fontId="10" fillId="0" borderId="24" xfId="1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26" xfId="0" applyFont="1" applyBorder="1" applyAlignment="1">
      <alignment horizontal="center"/>
    </xf>
    <xf numFmtId="44" fontId="7" fillId="0" borderId="10" xfId="0" applyNumberFormat="1" applyFont="1" applyBorder="1" applyAlignment="1">
      <alignment horizontal="left"/>
    </xf>
    <xf numFmtId="0" fontId="7" fillId="0" borderId="24" xfId="0" applyFont="1" applyBorder="1" applyAlignment="1">
      <alignment horizontal="left"/>
    </xf>
    <xf numFmtId="44" fontId="7" fillId="0" borderId="2" xfId="0" applyNumberFormat="1" applyFont="1" applyBorder="1" applyAlignment="1">
      <alignment horizontal="left"/>
    </xf>
    <xf numFmtId="0" fontId="7" fillId="0" borderId="29" xfId="0" applyFont="1" applyBorder="1" applyAlignment="1">
      <alignment horizontal="left"/>
    </xf>
    <xf numFmtId="0" fontId="7" fillId="0" borderId="28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1" xfId="0" applyFont="1" applyBorder="1" applyAlignment="1">
      <alignment horizontal="center"/>
    </xf>
    <xf numFmtId="0" fontId="12" fillId="0" borderId="14" xfId="0" applyFont="1" applyBorder="1" applyAlignment="1">
      <alignment horizontal="center" vertical="top" wrapText="1"/>
    </xf>
    <xf numFmtId="0" fontId="7" fillId="0" borderId="13" xfId="0" applyFont="1" applyBorder="1" applyAlignment="1">
      <alignment horizontal="center" vertical="top"/>
    </xf>
    <xf numFmtId="0" fontId="7" fillId="0" borderId="34" xfId="0" applyFont="1" applyBorder="1" applyAlignment="1">
      <alignment horizontal="center" vertical="top"/>
    </xf>
    <xf numFmtId="17" fontId="13" fillId="0" borderId="1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3" fillId="0" borderId="31" xfId="0" applyFont="1" applyBorder="1" applyAlignment="1">
      <alignment horizontal="left"/>
    </xf>
    <xf numFmtId="17" fontId="15" fillId="0" borderId="1" xfId="0" applyNumberFormat="1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31" xfId="0" applyFont="1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0" fontId="7" fillId="2" borderId="24" xfId="0" applyFont="1" applyFill="1" applyBorder="1" applyAlignment="1">
      <alignment horizontal="center"/>
    </xf>
    <xf numFmtId="0" fontId="14" fillId="0" borderId="6" xfId="0" applyFont="1" applyBorder="1" applyAlignment="1">
      <alignment horizontal="center"/>
    </xf>
    <xf numFmtId="49" fontId="14" fillId="0" borderId="6" xfId="0" applyNumberFormat="1" applyFont="1" applyBorder="1" applyAlignment="1">
      <alignment horizont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13" fillId="0" borderId="0" xfId="0" applyFont="1" applyAlignment="1">
      <alignment horizontal="center" wrapText="1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/>
    </xf>
    <xf numFmtId="44" fontId="7" fillId="0" borderId="1" xfId="1" applyFont="1" applyBorder="1" applyAlignment="1">
      <alignment horizontal="center"/>
    </xf>
    <xf numFmtId="44" fontId="7" fillId="2" borderId="1" xfId="1" applyFont="1" applyFill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31" xfId="0" applyFont="1" applyFill="1" applyBorder="1" applyAlignment="1">
      <alignment horizontal="center"/>
    </xf>
    <xf numFmtId="44" fontId="7" fillId="0" borderId="38" xfId="1" applyFont="1" applyBorder="1" applyAlignment="1">
      <alignment horizontal="center"/>
    </xf>
    <xf numFmtId="44" fontId="7" fillId="0" borderId="41" xfId="1" applyFont="1" applyBorder="1" applyAlignment="1">
      <alignment horizontal="center"/>
    </xf>
    <xf numFmtId="44" fontId="7" fillId="0" borderId="39" xfId="1" applyFont="1" applyBorder="1" applyAlignment="1">
      <alignment horizontal="center"/>
    </xf>
    <xf numFmtId="44" fontId="7" fillId="0" borderId="0" xfId="1" applyFont="1" applyBorder="1" applyAlignment="1">
      <alignment horizontal="center"/>
    </xf>
    <xf numFmtId="44" fontId="7" fillId="0" borderId="10" xfId="1" applyFont="1" applyBorder="1" applyAlignment="1">
      <alignment horizontal="left"/>
    </xf>
    <xf numFmtId="44" fontId="7" fillId="0" borderId="6" xfId="1" applyFont="1" applyBorder="1" applyAlignment="1">
      <alignment horizontal="left"/>
    </xf>
    <xf numFmtId="44" fontId="7" fillId="0" borderId="11" xfId="1" applyFont="1" applyBorder="1" applyAlignment="1">
      <alignment horizontal="left"/>
    </xf>
    <xf numFmtId="44" fontId="7" fillId="0" borderId="2" xfId="1" applyFont="1" applyBorder="1" applyAlignment="1">
      <alignment horizontal="center"/>
    </xf>
    <xf numFmtId="44" fontId="7" fillId="0" borderId="3" xfId="1" applyFont="1" applyBorder="1" applyAlignment="1">
      <alignment horizontal="center"/>
    </xf>
    <xf numFmtId="44" fontId="7" fillId="0" borderId="4" xfId="1" applyFont="1" applyBorder="1" applyAlignment="1">
      <alignment horizontal="center"/>
    </xf>
    <xf numFmtId="44" fontId="7" fillId="2" borderId="10" xfId="1" applyFont="1" applyFill="1" applyBorder="1" applyAlignment="1">
      <alignment horizontal="center"/>
    </xf>
    <xf numFmtId="44" fontId="7" fillId="2" borderId="6" xfId="1" applyFont="1" applyFill="1" applyBorder="1" applyAlignment="1">
      <alignment horizontal="center"/>
    </xf>
    <xf numFmtId="44" fontId="7" fillId="2" borderId="11" xfId="1" applyFont="1" applyFill="1" applyBorder="1" applyAlignment="1">
      <alignment horizontal="center"/>
    </xf>
    <xf numFmtId="44" fontId="7" fillId="2" borderId="2" xfId="1" applyFont="1" applyFill="1" applyBorder="1" applyAlignment="1">
      <alignment horizontal="center"/>
    </xf>
    <xf numFmtId="44" fontId="7" fillId="2" borderId="3" xfId="1" applyFont="1" applyFill="1" applyBorder="1" applyAlignment="1">
      <alignment horizontal="center"/>
    </xf>
    <xf numFmtId="44" fontId="7" fillId="2" borderId="4" xfId="1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 vertical="center"/>
    </xf>
    <xf numFmtId="0" fontId="7" fillId="4" borderId="18" xfId="0" applyFont="1" applyFill="1" applyBorder="1" applyAlignment="1">
      <alignment horizontal="center" vertical="center"/>
    </xf>
    <xf numFmtId="0" fontId="7" fillId="4" borderId="36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55" xfId="0" applyFont="1" applyFill="1" applyBorder="1" applyAlignment="1">
      <alignment horizontal="center" vertical="center"/>
    </xf>
    <xf numFmtId="0" fontId="8" fillId="4" borderId="52" xfId="0" applyFont="1" applyFill="1" applyBorder="1" applyAlignment="1">
      <alignment horizontal="center" vertical="center"/>
    </xf>
    <xf numFmtId="0" fontId="8" fillId="4" borderId="56" xfId="0" applyFont="1" applyFill="1" applyBorder="1" applyAlignment="1">
      <alignment horizontal="center" vertical="center"/>
    </xf>
    <xf numFmtId="0" fontId="8" fillId="4" borderId="28" xfId="0" applyFont="1" applyFill="1" applyBorder="1" applyAlignment="1">
      <alignment horizontal="center" vertical="center"/>
    </xf>
    <xf numFmtId="0" fontId="8" fillId="4" borderId="53" xfId="0" applyFont="1" applyFill="1" applyBorder="1" applyAlignment="1">
      <alignment horizontal="center" vertical="center"/>
    </xf>
    <xf numFmtId="44" fontId="7" fillId="0" borderId="7" xfId="1" applyFont="1" applyBorder="1" applyAlignment="1">
      <alignment horizontal="center"/>
    </xf>
    <xf numFmtId="44" fontId="7" fillId="0" borderId="8" xfId="1" applyFont="1" applyBorder="1" applyAlignment="1">
      <alignment horizontal="center"/>
    </xf>
    <xf numFmtId="44" fontId="7" fillId="0" borderId="9" xfId="1" applyFont="1" applyBorder="1" applyAlignment="1">
      <alignment horizontal="center"/>
    </xf>
    <xf numFmtId="0" fontId="7" fillId="2" borderId="50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 vertical="center"/>
    </xf>
    <xf numFmtId="0" fontId="7" fillId="2" borderId="22" xfId="0" applyFont="1" applyFill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10" fillId="4" borderId="50" xfId="0" applyFont="1" applyFill="1" applyBorder="1" applyAlignment="1">
      <alignment horizontal="center" vertical="center" wrapText="1"/>
    </xf>
    <xf numFmtId="0" fontId="10" fillId="4" borderId="20" xfId="0" applyFont="1" applyFill="1" applyBorder="1" applyAlignment="1">
      <alignment horizontal="center" vertical="center" wrapText="1"/>
    </xf>
    <xf numFmtId="0" fontId="10" fillId="4" borderId="51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166" fontId="10" fillId="4" borderId="20" xfId="0" applyNumberFormat="1" applyFont="1" applyFill="1" applyBorder="1" applyAlignment="1">
      <alignment horizontal="center" vertical="center"/>
    </xf>
    <xf numFmtId="166" fontId="10" fillId="4" borderId="22" xfId="0" applyNumberFormat="1" applyFont="1" applyFill="1" applyBorder="1" applyAlignment="1">
      <alignment horizontal="center" vertical="center"/>
    </xf>
    <xf numFmtId="166" fontId="10" fillId="4" borderId="52" xfId="0" applyNumberFormat="1" applyFont="1" applyFill="1" applyBorder="1" applyAlignment="1">
      <alignment horizontal="center" vertical="center"/>
    </xf>
    <xf numFmtId="166" fontId="10" fillId="4" borderId="53" xfId="0" applyNumberFormat="1" applyFont="1" applyFill="1" applyBorder="1" applyAlignment="1">
      <alignment horizontal="center" vertical="center"/>
    </xf>
    <xf numFmtId="0" fontId="7" fillId="0" borderId="14" xfId="0" applyFont="1" applyBorder="1" applyAlignment="1">
      <alignment horizontal="center" vertical="top"/>
    </xf>
    <xf numFmtId="0" fontId="7" fillId="0" borderId="37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7" fillId="2" borderId="11" xfId="0" applyFont="1" applyFill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7" fillId="2" borderId="37" xfId="0" applyFont="1" applyFill="1" applyBorder="1" applyAlignment="1">
      <alignment horizontal="center" vertical="center"/>
    </xf>
    <xf numFmtId="0" fontId="7" fillId="2" borderId="40" xfId="0" applyFont="1" applyFill="1" applyBorder="1" applyAlignment="1">
      <alignment horizontal="center" vertical="center"/>
    </xf>
    <xf numFmtId="0" fontId="7" fillId="2" borderId="49" xfId="0" applyFont="1" applyFill="1" applyBorder="1" applyAlignment="1">
      <alignment horizontal="center" vertical="center"/>
    </xf>
    <xf numFmtId="0" fontId="7" fillId="0" borderId="47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 textRotation="73" wrapText="1"/>
    </xf>
    <xf numFmtId="0" fontId="14" fillId="4" borderId="23" xfId="0" applyFont="1" applyFill="1" applyBorder="1" applyAlignment="1">
      <alignment horizontal="center" vertical="center" textRotation="73" wrapText="1"/>
    </xf>
    <xf numFmtId="0" fontId="14" fillId="4" borderId="37" xfId="0" applyFont="1" applyFill="1" applyBorder="1" applyAlignment="1">
      <alignment horizontal="center" vertical="center" textRotation="73" wrapText="1"/>
    </xf>
    <xf numFmtId="0" fontId="7" fillId="4" borderId="21" xfId="0" applyFont="1" applyFill="1" applyBorder="1" applyAlignment="1">
      <alignment horizontal="center" vertical="center"/>
    </xf>
    <xf numFmtId="0" fontId="7" fillId="4" borderId="43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31" xfId="0" applyFont="1" applyFill="1" applyBorder="1" applyAlignment="1">
      <alignment horizontal="center" vertical="center"/>
    </xf>
    <xf numFmtId="0" fontId="7" fillId="4" borderId="38" xfId="0" applyFont="1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7" fillId="4" borderId="42" xfId="0" applyFont="1" applyFill="1" applyBorder="1" applyAlignment="1">
      <alignment horizontal="center" vertical="center"/>
    </xf>
    <xf numFmtId="0" fontId="7" fillId="4" borderId="35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8" fillId="4" borderId="27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13" fillId="4" borderId="5" xfId="0" applyFont="1" applyFill="1" applyBorder="1" applyAlignment="1">
      <alignment horizontal="center" vertical="center" wrapText="1"/>
    </xf>
    <xf numFmtId="0" fontId="13" fillId="4" borderId="54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54" xfId="0" applyFont="1" applyFill="1" applyBorder="1" applyAlignment="1">
      <alignment horizontal="center" vertical="center" wrapText="1"/>
    </xf>
    <xf numFmtId="0" fontId="8" fillId="4" borderId="38" xfId="0" applyFont="1" applyFill="1" applyBorder="1" applyAlignment="1">
      <alignment horizontal="center" vertical="center"/>
    </xf>
    <xf numFmtId="0" fontId="8" fillId="4" borderId="39" xfId="0" applyFont="1" applyFill="1" applyBorder="1" applyAlignment="1">
      <alignment horizontal="center" vertical="center"/>
    </xf>
    <xf numFmtId="0" fontId="7" fillId="2" borderId="45" xfId="0" applyFont="1" applyFill="1" applyBorder="1" applyAlignment="1">
      <alignment horizontal="left" vertical="center"/>
    </xf>
    <xf numFmtId="0" fontId="7" fillId="2" borderId="46" xfId="0" applyFont="1" applyFill="1" applyBorder="1" applyAlignment="1">
      <alignment horizontal="left" vertical="center"/>
    </xf>
    <xf numFmtId="0" fontId="12" fillId="2" borderId="45" xfId="0" applyFont="1" applyFill="1" applyBorder="1" applyAlignment="1">
      <alignment horizontal="center" vertical="center"/>
    </xf>
    <xf numFmtId="0" fontId="12" fillId="2" borderId="46" xfId="0" applyFont="1" applyFill="1" applyBorder="1" applyAlignment="1">
      <alignment horizontal="center" vertical="center"/>
    </xf>
    <xf numFmtId="0" fontId="12" fillId="2" borderId="44" xfId="0" applyFont="1" applyFill="1" applyBorder="1" applyAlignment="1">
      <alignment horizontal="left" vertical="center"/>
    </xf>
    <xf numFmtId="0" fontId="12" fillId="2" borderId="45" xfId="0" applyFont="1" applyFill="1" applyBorder="1" applyAlignment="1">
      <alignment horizontal="left" vertical="center"/>
    </xf>
    <xf numFmtId="0" fontId="12" fillId="2" borderId="45" xfId="0" applyFont="1" applyFill="1" applyBorder="1" applyAlignment="1">
      <alignment horizontal="left" vertical="center" wrapText="1"/>
    </xf>
    <xf numFmtId="0" fontId="7" fillId="4" borderId="16" xfId="0" applyFont="1" applyFill="1" applyBorder="1" applyAlignment="1">
      <alignment horizontal="center" vertical="center"/>
    </xf>
    <xf numFmtId="0" fontId="12" fillId="4" borderId="23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3">
    <dxf>
      <font>
        <b/>
        <i/>
      </font>
      <fill>
        <patternFill>
          <bgColor rgb="FFEDFB33"/>
        </patternFill>
      </fill>
    </dxf>
    <dxf>
      <font>
        <b/>
        <i/>
      </font>
      <fill>
        <patternFill>
          <bgColor rgb="FFEDFB33"/>
        </patternFill>
      </fill>
    </dxf>
    <dxf>
      <font>
        <b/>
        <i/>
      </font>
      <fill>
        <patternFill>
          <bgColor rgb="FFEDFB33"/>
        </patternFill>
      </fill>
    </dxf>
  </dxfs>
  <tableStyles count="0" defaultTableStyle="TableStyleMedium2" defaultPivotStyle="PivotStyleLight16"/>
  <colors>
    <mruColors>
      <color rgb="FFF4B7F5"/>
      <color rgb="FFEDFB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croll" dx="26" fmlaLink="$A$2" horiz="1" max="136" min="1" page="10" val="45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microsoft.com/office/2007/relationships/hdphoto" Target="../media/hdphoto2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70</xdr:row>
      <xdr:rowOff>180975</xdr:rowOff>
    </xdr:from>
    <xdr:to>
      <xdr:col>6</xdr:col>
      <xdr:colOff>114300</xdr:colOff>
      <xdr:row>71</xdr:row>
      <xdr:rowOff>0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901815" y="15146655"/>
          <a:ext cx="702945" cy="18288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PE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05921692</a:t>
          </a:r>
        </a:p>
      </xdr:txBody>
    </xdr:sp>
    <xdr:clientData/>
  </xdr:twoCellAnchor>
  <xdr:twoCellAnchor>
    <xdr:from>
      <xdr:col>5</xdr:col>
      <xdr:colOff>104775</xdr:colOff>
      <xdr:row>71</xdr:row>
      <xdr:rowOff>180975</xdr:rowOff>
    </xdr:from>
    <xdr:to>
      <xdr:col>6</xdr:col>
      <xdr:colOff>114300</xdr:colOff>
      <xdr:row>72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29475" y="15706725"/>
          <a:ext cx="685800" cy="95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PE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05921692</a:t>
          </a:r>
        </a:p>
      </xdr:txBody>
    </xdr:sp>
    <xdr:clientData/>
  </xdr:twoCellAnchor>
  <xdr:twoCellAnchor>
    <xdr:from>
      <xdr:col>5</xdr:col>
      <xdr:colOff>104775</xdr:colOff>
      <xdr:row>71</xdr:row>
      <xdr:rowOff>180975</xdr:rowOff>
    </xdr:from>
    <xdr:to>
      <xdr:col>6</xdr:col>
      <xdr:colOff>114300</xdr:colOff>
      <xdr:row>72</xdr:row>
      <xdr:rowOff>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29475" y="15706725"/>
          <a:ext cx="685800" cy="95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PE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05921692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15</xdr:row>
      <xdr:rowOff>0</xdr:rowOff>
    </xdr:from>
    <xdr:to>
      <xdr:col>7</xdr:col>
      <xdr:colOff>9525</xdr:colOff>
      <xdr:row>22</xdr:row>
      <xdr:rowOff>0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>
          <a:off x="360045" y="2743200"/>
          <a:ext cx="4183380" cy="14706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12</xdr:row>
      <xdr:rowOff>0</xdr:rowOff>
    </xdr:from>
    <xdr:to>
      <xdr:col>19</xdr:col>
      <xdr:colOff>0</xdr:colOff>
      <xdr:row>22</xdr:row>
      <xdr:rowOff>0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4267200" y="1981200"/>
          <a:ext cx="5486400" cy="20116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152400</xdr:colOff>
          <xdr:row>4</xdr:row>
          <xdr:rowOff>57150</xdr:rowOff>
        </xdr:from>
        <xdr:to>
          <xdr:col>18</xdr:col>
          <xdr:colOff>209550</xdr:colOff>
          <xdr:row>5</xdr:row>
          <xdr:rowOff>133350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 editAs="oneCell">
    <xdr:from>
      <xdr:col>11</xdr:col>
      <xdr:colOff>129540</xdr:colOff>
      <xdr:row>29</xdr:row>
      <xdr:rowOff>121920</xdr:rowOff>
    </xdr:from>
    <xdr:to>
      <xdr:col>12</xdr:col>
      <xdr:colOff>803910</xdr:colOff>
      <xdr:row>35</xdr:row>
      <xdr:rowOff>166664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5451" t="9364" r="8071" b="13518"/>
        <a:stretch/>
      </xdr:blipFill>
      <xdr:spPr>
        <a:xfrm>
          <a:off x="6454140" y="5486400"/>
          <a:ext cx="1272540" cy="1142024"/>
        </a:xfrm>
        <a:prstGeom prst="rect">
          <a:avLst/>
        </a:prstGeom>
      </xdr:spPr>
    </xdr:pic>
    <xdr:clientData/>
  </xdr:twoCellAnchor>
  <xdr:twoCellAnchor editAs="oneCell">
    <xdr:from>
      <xdr:col>5</xdr:col>
      <xdr:colOff>322580</xdr:colOff>
      <xdr:row>29</xdr:row>
      <xdr:rowOff>114300</xdr:rowOff>
    </xdr:from>
    <xdr:to>
      <xdr:col>6</xdr:col>
      <xdr:colOff>259080</xdr:colOff>
      <xdr:row>36</xdr:row>
      <xdr:rowOff>154518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/>
      </xdr:nvPicPr>
      <xdr:blipFill rotWithShape="1"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8228" t="44300" r="39319" b="24736"/>
        <a:stretch/>
      </xdr:blipFill>
      <xdr:spPr bwMode="auto">
        <a:xfrm>
          <a:off x="2898140" y="5478780"/>
          <a:ext cx="1369060" cy="1320378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porteComite_16060120230414112555" connectionId="5" xr16:uid="{9D6266EC-C97C-4EEA-8C8F-9A0D98C35659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EF7D5-3AC8-45A5-A5A8-58AB736CFCCD}">
  <sheetPr codeName="Hoja4"/>
  <dimension ref="A1:K129"/>
  <sheetViews>
    <sheetView tabSelected="1" zoomScale="107" zoomScaleNormal="85" workbookViewId="0">
      <pane xSplit="3" ySplit="1" topLeftCell="F16" activePane="bottomRight" state="frozen"/>
      <selection pane="topRight" activeCell="D1" sqref="D1"/>
      <selection pane="bottomLeft" activeCell="A2" sqref="A2"/>
      <selection pane="bottomRight" activeCell="I24" sqref="I24"/>
    </sheetView>
  </sheetViews>
  <sheetFormatPr baseColWidth="10" defaultColWidth="11.5703125" defaultRowHeight="15" x14ac:dyDescent="0.25"/>
  <cols>
    <col min="1" max="1" width="5.28515625" style="4" customWidth="1"/>
    <col min="2" max="2" width="7.5703125" style="3" customWidth="1"/>
    <col min="3" max="3" width="58" style="10" customWidth="1"/>
    <col min="4" max="4" width="11.28515625" style="10" customWidth="1"/>
    <col min="5" max="5" width="41.85546875" style="10" customWidth="1"/>
    <col min="6" max="6" width="13.42578125" style="8" customWidth="1"/>
    <col min="7" max="7" width="39.7109375" style="3" customWidth="1"/>
    <col min="8" max="8" width="11.28515625" style="4" customWidth="1"/>
    <col min="9" max="9" width="8.85546875" style="7" customWidth="1"/>
    <col min="10" max="10" width="9.28515625" style="10" customWidth="1"/>
    <col min="11" max="11" width="0.140625" style="10" customWidth="1"/>
    <col min="12" max="16384" width="11.5703125" style="3"/>
  </cols>
  <sheetData>
    <row r="1" spans="1:11" ht="29.45" customHeight="1" x14ac:dyDescent="0.25">
      <c r="A1" s="19" t="s">
        <v>100</v>
      </c>
      <c r="B1" s="104" t="s">
        <v>28</v>
      </c>
      <c r="C1" s="16" t="s">
        <v>99</v>
      </c>
      <c r="D1" s="17" t="s">
        <v>89</v>
      </c>
      <c r="E1" s="17" t="s">
        <v>90</v>
      </c>
      <c r="F1" s="16" t="s">
        <v>88</v>
      </c>
      <c r="G1" s="17" t="s">
        <v>91</v>
      </c>
      <c r="H1" s="16" t="s">
        <v>101</v>
      </c>
      <c r="I1" s="18" t="s">
        <v>85</v>
      </c>
      <c r="J1" s="16" t="s">
        <v>86</v>
      </c>
      <c r="K1" s="6"/>
    </row>
    <row r="2" spans="1:11" x14ac:dyDescent="0.25">
      <c r="A2" s="14">
        <v>1</v>
      </c>
      <c r="B2" s="2">
        <v>390</v>
      </c>
      <c r="C2" s="11" t="s">
        <v>212</v>
      </c>
      <c r="D2" s="105">
        <v>81846145</v>
      </c>
      <c r="E2" s="15" t="s">
        <v>283</v>
      </c>
      <c r="F2" s="103">
        <v>46134991</v>
      </c>
      <c r="G2" s="15" t="s">
        <v>284</v>
      </c>
      <c r="H2" s="106">
        <v>51</v>
      </c>
      <c r="I2">
        <v>40</v>
      </c>
      <c r="J2">
        <v>20</v>
      </c>
      <c r="K2" s="9">
        <v>74</v>
      </c>
    </row>
    <row r="3" spans="1:11" x14ac:dyDescent="0.25">
      <c r="A3" s="14">
        <v>2</v>
      </c>
      <c r="B3" s="2">
        <f t="shared" ref="B3:B66" si="0">B2+1</f>
        <v>391</v>
      </c>
      <c r="C3" s="11" t="s">
        <v>216</v>
      </c>
      <c r="D3" s="105">
        <v>47763082</v>
      </c>
      <c r="E3" s="15" t="s">
        <v>285</v>
      </c>
      <c r="F3" s="103">
        <v>48618425</v>
      </c>
      <c r="G3" s="15" t="s">
        <v>286</v>
      </c>
      <c r="H3" s="106">
        <v>67</v>
      </c>
      <c r="I3">
        <v>53</v>
      </c>
      <c r="J3">
        <v>26</v>
      </c>
      <c r="K3" s="9">
        <v>52</v>
      </c>
    </row>
    <row r="4" spans="1:11" x14ac:dyDescent="0.25">
      <c r="A4" s="14">
        <v>3</v>
      </c>
      <c r="B4" s="2">
        <f t="shared" si="0"/>
        <v>392</v>
      </c>
      <c r="C4" s="11" t="s">
        <v>217</v>
      </c>
      <c r="D4" s="105">
        <v>62828234</v>
      </c>
      <c r="E4" s="15" t="s">
        <v>287</v>
      </c>
      <c r="F4" s="103">
        <v>48701980</v>
      </c>
      <c r="G4" s="15" t="s">
        <v>288</v>
      </c>
      <c r="H4" s="106">
        <v>44</v>
      </c>
      <c r="I4">
        <v>35</v>
      </c>
      <c r="J4">
        <v>17</v>
      </c>
      <c r="K4" s="9">
        <v>72</v>
      </c>
    </row>
    <row r="5" spans="1:11" x14ac:dyDescent="0.25">
      <c r="A5" s="14">
        <v>4</v>
      </c>
      <c r="B5" s="2">
        <f t="shared" si="0"/>
        <v>393</v>
      </c>
      <c r="C5" s="11" t="s">
        <v>218</v>
      </c>
      <c r="D5" s="105">
        <v>47015125</v>
      </c>
      <c r="E5" s="15" t="s">
        <v>289</v>
      </c>
      <c r="F5" s="103">
        <v>41708830</v>
      </c>
      <c r="G5" s="15" t="s">
        <v>290</v>
      </c>
      <c r="H5" s="106">
        <v>51</v>
      </c>
      <c r="I5">
        <v>40</v>
      </c>
      <c r="J5">
        <v>20</v>
      </c>
      <c r="K5" s="9">
        <v>72</v>
      </c>
    </row>
    <row r="6" spans="1:11" x14ac:dyDescent="0.25">
      <c r="A6" s="14">
        <v>5</v>
      </c>
      <c r="B6" s="2">
        <f t="shared" si="0"/>
        <v>394</v>
      </c>
      <c r="C6" s="11" t="s">
        <v>114</v>
      </c>
      <c r="D6" s="105">
        <v>76318279</v>
      </c>
      <c r="E6" s="15" t="s">
        <v>291</v>
      </c>
      <c r="F6" s="103">
        <v>76823484</v>
      </c>
      <c r="G6" s="15" t="s">
        <v>292</v>
      </c>
      <c r="H6" s="106">
        <v>51</v>
      </c>
      <c r="I6">
        <v>40</v>
      </c>
      <c r="J6">
        <v>20</v>
      </c>
      <c r="K6" s="9">
        <v>35</v>
      </c>
    </row>
    <row r="7" spans="1:11" x14ac:dyDescent="0.25">
      <c r="A7" s="14">
        <v>6</v>
      </c>
      <c r="B7" s="2">
        <f t="shared" si="0"/>
        <v>395</v>
      </c>
      <c r="C7" s="11" t="s">
        <v>219</v>
      </c>
      <c r="D7" s="105"/>
      <c r="E7" s="15"/>
      <c r="F7" s="103"/>
      <c r="G7" s="15"/>
      <c r="H7" s="106">
        <v>19</v>
      </c>
      <c r="I7">
        <v>15</v>
      </c>
      <c r="J7">
        <v>8</v>
      </c>
      <c r="K7" s="9">
        <v>34</v>
      </c>
    </row>
    <row r="8" spans="1:11" x14ac:dyDescent="0.25">
      <c r="A8" s="14">
        <v>7</v>
      </c>
      <c r="B8" s="2">
        <f t="shared" si="0"/>
        <v>396</v>
      </c>
      <c r="C8" s="11" t="s">
        <v>220</v>
      </c>
      <c r="D8" s="105">
        <v>73890310</v>
      </c>
      <c r="E8" s="15" t="s">
        <v>293</v>
      </c>
      <c r="F8" s="103">
        <v>45641054</v>
      </c>
      <c r="G8" s="15" t="s">
        <v>294</v>
      </c>
      <c r="H8" s="106">
        <v>36</v>
      </c>
      <c r="I8">
        <v>28</v>
      </c>
      <c r="J8">
        <v>14</v>
      </c>
      <c r="K8" s="9">
        <v>54</v>
      </c>
    </row>
    <row r="9" spans="1:11" x14ac:dyDescent="0.25">
      <c r="A9" s="14">
        <v>8</v>
      </c>
      <c r="B9" s="2">
        <f t="shared" si="0"/>
        <v>397</v>
      </c>
      <c r="C9" s="11" t="s">
        <v>221</v>
      </c>
      <c r="D9" s="105">
        <v>5954280</v>
      </c>
      <c r="E9" s="15" t="s">
        <v>295</v>
      </c>
      <c r="F9" s="103">
        <v>5921194</v>
      </c>
      <c r="G9" s="15" t="s">
        <v>296</v>
      </c>
      <c r="H9" s="106">
        <v>59</v>
      </c>
      <c r="I9">
        <v>47</v>
      </c>
      <c r="J9">
        <v>23</v>
      </c>
      <c r="K9" s="9">
        <v>83</v>
      </c>
    </row>
    <row r="10" spans="1:11" ht="14.25" customHeight="1" x14ac:dyDescent="0.25">
      <c r="A10" s="14">
        <v>9</v>
      </c>
      <c r="B10" s="2">
        <f t="shared" si="0"/>
        <v>398</v>
      </c>
      <c r="C10" s="11" t="s">
        <v>222</v>
      </c>
      <c r="D10" s="105">
        <v>43364480</v>
      </c>
      <c r="E10" s="15" t="s">
        <v>297</v>
      </c>
      <c r="F10" s="103">
        <v>40187729</v>
      </c>
      <c r="G10" s="15" t="s">
        <v>298</v>
      </c>
      <c r="H10" s="106">
        <v>63</v>
      </c>
      <c r="I10">
        <v>50</v>
      </c>
      <c r="J10">
        <v>25</v>
      </c>
      <c r="K10" s="9">
        <v>120</v>
      </c>
    </row>
    <row r="11" spans="1:11" x14ac:dyDescent="0.25">
      <c r="A11" s="14">
        <v>10</v>
      </c>
      <c r="B11" s="2">
        <f t="shared" si="0"/>
        <v>399</v>
      </c>
      <c r="C11" s="11" t="s">
        <v>223</v>
      </c>
      <c r="D11" s="105">
        <v>5921109</v>
      </c>
      <c r="E11" s="15" t="s">
        <v>299</v>
      </c>
      <c r="F11" s="103">
        <v>75224310</v>
      </c>
      <c r="G11" s="15" t="s">
        <v>300</v>
      </c>
      <c r="H11" s="106">
        <v>77</v>
      </c>
      <c r="I11">
        <v>61</v>
      </c>
      <c r="J11">
        <v>30</v>
      </c>
      <c r="K11" s="9">
        <v>76</v>
      </c>
    </row>
    <row r="12" spans="1:11" x14ac:dyDescent="0.25">
      <c r="A12" s="14">
        <v>11</v>
      </c>
      <c r="B12" s="2">
        <f t="shared" si="0"/>
        <v>400</v>
      </c>
      <c r="C12" s="11" t="s">
        <v>224</v>
      </c>
      <c r="D12" s="105">
        <v>77056719</v>
      </c>
      <c r="E12" s="15" t="s">
        <v>301</v>
      </c>
      <c r="F12" s="103">
        <v>80895075</v>
      </c>
      <c r="G12" s="15" t="s">
        <v>302</v>
      </c>
      <c r="H12" s="106">
        <v>47</v>
      </c>
      <c r="I12">
        <v>37</v>
      </c>
      <c r="J12">
        <v>18</v>
      </c>
      <c r="K12" s="9">
        <v>68</v>
      </c>
    </row>
    <row r="13" spans="1:11" x14ac:dyDescent="0.25">
      <c r="A13" s="14">
        <v>12</v>
      </c>
      <c r="B13" s="2">
        <f t="shared" si="0"/>
        <v>401</v>
      </c>
      <c r="C13" s="11" t="s">
        <v>225</v>
      </c>
      <c r="D13" s="105">
        <v>77244538</v>
      </c>
      <c r="E13" s="15" t="s">
        <v>303</v>
      </c>
      <c r="F13" s="103">
        <v>44960658</v>
      </c>
      <c r="G13" s="15" t="s">
        <v>304</v>
      </c>
      <c r="H13" s="106">
        <v>60</v>
      </c>
      <c r="I13">
        <v>48</v>
      </c>
      <c r="J13">
        <v>24</v>
      </c>
      <c r="K13" s="9">
        <v>18</v>
      </c>
    </row>
    <row r="14" spans="1:11" x14ac:dyDescent="0.25">
      <c r="A14" s="14">
        <v>13</v>
      </c>
      <c r="B14" s="2">
        <f t="shared" si="0"/>
        <v>402</v>
      </c>
      <c r="C14" s="11" t="s">
        <v>226</v>
      </c>
      <c r="D14" s="105">
        <v>47406030</v>
      </c>
      <c r="E14" s="15" t="s">
        <v>306</v>
      </c>
      <c r="F14" s="103">
        <v>48492834</v>
      </c>
      <c r="G14" s="15" t="s">
        <v>347</v>
      </c>
      <c r="H14" s="106">
        <v>39</v>
      </c>
      <c r="I14">
        <v>31</v>
      </c>
      <c r="J14">
        <v>15</v>
      </c>
      <c r="K14" s="9">
        <v>73</v>
      </c>
    </row>
    <row r="15" spans="1:11" x14ac:dyDescent="0.25">
      <c r="A15" s="14">
        <v>14</v>
      </c>
      <c r="B15" s="2">
        <f t="shared" si="0"/>
        <v>403</v>
      </c>
      <c r="C15" s="11" t="s">
        <v>227</v>
      </c>
      <c r="D15" s="105">
        <v>75797444</v>
      </c>
      <c r="E15" s="15" t="s">
        <v>307</v>
      </c>
      <c r="F15" s="103">
        <v>4482239</v>
      </c>
      <c r="G15" s="15" t="s">
        <v>348</v>
      </c>
      <c r="H15" s="106">
        <v>28</v>
      </c>
      <c r="I15">
        <v>22</v>
      </c>
      <c r="J15">
        <v>11</v>
      </c>
      <c r="K15" s="9">
        <v>30</v>
      </c>
    </row>
    <row r="16" spans="1:11" x14ac:dyDescent="0.25">
      <c r="A16" s="14">
        <v>15</v>
      </c>
      <c r="B16" s="2">
        <f t="shared" si="0"/>
        <v>404</v>
      </c>
      <c r="C16" s="11" t="s">
        <v>228</v>
      </c>
      <c r="D16" s="105"/>
      <c r="E16" s="15"/>
      <c r="F16" s="103"/>
      <c r="G16" s="15"/>
      <c r="H16" s="106">
        <v>40</v>
      </c>
      <c r="I16">
        <v>32</v>
      </c>
      <c r="J16">
        <v>16</v>
      </c>
      <c r="K16" s="9">
        <v>30</v>
      </c>
    </row>
    <row r="17" spans="1:11" x14ac:dyDescent="0.25">
      <c r="A17" s="14">
        <v>16</v>
      </c>
      <c r="B17" s="2">
        <f t="shared" si="0"/>
        <v>405</v>
      </c>
      <c r="C17" s="11" t="s">
        <v>229</v>
      </c>
      <c r="D17" s="105">
        <v>62275777</v>
      </c>
      <c r="E17" s="15" t="s">
        <v>308</v>
      </c>
      <c r="F17" s="103">
        <v>80997573</v>
      </c>
      <c r="G17" s="15" t="s">
        <v>349</v>
      </c>
      <c r="H17" s="106">
        <v>66</v>
      </c>
      <c r="I17">
        <v>52</v>
      </c>
      <c r="J17">
        <v>26</v>
      </c>
      <c r="K17" s="9">
        <v>70</v>
      </c>
    </row>
    <row r="18" spans="1:11" x14ac:dyDescent="0.25">
      <c r="A18" s="14">
        <v>17</v>
      </c>
      <c r="B18" s="2">
        <f t="shared" si="0"/>
        <v>406</v>
      </c>
      <c r="C18" s="11" t="s">
        <v>230</v>
      </c>
      <c r="D18" s="105">
        <v>40971373</v>
      </c>
      <c r="E18" s="15" t="s">
        <v>309</v>
      </c>
      <c r="F18" s="103">
        <v>48709141</v>
      </c>
      <c r="G18" s="15" t="s">
        <v>350</v>
      </c>
      <c r="H18" s="106">
        <v>70</v>
      </c>
      <c r="I18">
        <v>56</v>
      </c>
      <c r="J18">
        <v>28</v>
      </c>
      <c r="K18" s="9">
        <v>51</v>
      </c>
    </row>
    <row r="19" spans="1:11" x14ac:dyDescent="0.25">
      <c r="A19" s="14">
        <v>18</v>
      </c>
      <c r="B19" s="2">
        <f t="shared" si="0"/>
        <v>407</v>
      </c>
      <c r="C19" s="11" t="s">
        <v>231</v>
      </c>
      <c r="D19" s="105">
        <v>46500779</v>
      </c>
      <c r="E19" s="15" t="s">
        <v>310</v>
      </c>
      <c r="F19" s="103">
        <v>5935150</v>
      </c>
      <c r="G19" s="15" t="s">
        <v>351</v>
      </c>
      <c r="H19" s="106">
        <v>48</v>
      </c>
      <c r="I19">
        <v>38</v>
      </c>
      <c r="J19">
        <v>19</v>
      </c>
      <c r="K19" s="9">
        <v>71</v>
      </c>
    </row>
    <row r="20" spans="1:11" x14ac:dyDescent="0.25">
      <c r="A20" s="14">
        <v>19</v>
      </c>
      <c r="B20" s="2">
        <f t="shared" si="0"/>
        <v>408</v>
      </c>
      <c r="C20" s="11" t="s">
        <v>232</v>
      </c>
      <c r="D20" s="105">
        <v>73905271</v>
      </c>
      <c r="E20" s="15" t="s">
        <v>311</v>
      </c>
      <c r="F20" s="103">
        <v>77038623</v>
      </c>
      <c r="G20" s="15" t="s">
        <v>352</v>
      </c>
      <c r="H20" s="106">
        <v>55</v>
      </c>
      <c r="I20">
        <v>44</v>
      </c>
      <c r="J20">
        <v>22</v>
      </c>
      <c r="K20" s="9">
        <v>40</v>
      </c>
    </row>
    <row r="21" spans="1:11" x14ac:dyDescent="0.25">
      <c r="A21" s="14">
        <v>20</v>
      </c>
      <c r="B21" s="2">
        <f t="shared" si="0"/>
        <v>409</v>
      </c>
      <c r="C21" s="11" t="s">
        <v>233</v>
      </c>
      <c r="D21" s="105">
        <v>48405198</v>
      </c>
      <c r="E21" s="15" t="s">
        <v>312</v>
      </c>
      <c r="F21" s="103">
        <v>62719458</v>
      </c>
      <c r="G21" s="15" t="s">
        <v>353</v>
      </c>
      <c r="H21" s="106">
        <v>76</v>
      </c>
      <c r="I21">
        <v>60</v>
      </c>
      <c r="J21">
        <v>30</v>
      </c>
      <c r="K21" s="9">
        <v>120</v>
      </c>
    </row>
    <row r="22" spans="1:11" x14ac:dyDescent="0.25">
      <c r="A22" s="14">
        <v>21</v>
      </c>
      <c r="B22" s="2">
        <f t="shared" si="0"/>
        <v>410</v>
      </c>
      <c r="C22" s="11" t="s">
        <v>234</v>
      </c>
      <c r="D22" s="105"/>
      <c r="E22" s="15"/>
      <c r="F22" s="103"/>
      <c r="G22" s="15"/>
      <c r="H22" s="106">
        <v>40</v>
      </c>
      <c r="I22">
        <v>32</v>
      </c>
      <c r="J22">
        <v>16</v>
      </c>
      <c r="K22" s="9">
        <v>47</v>
      </c>
    </row>
    <row r="23" spans="1:11" x14ac:dyDescent="0.25">
      <c r="A23" s="14">
        <v>22</v>
      </c>
      <c r="B23" s="2">
        <f t="shared" si="0"/>
        <v>411</v>
      </c>
      <c r="C23" s="11" t="s">
        <v>235</v>
      </c>
      <c r="D23" s="105">
        <v>77061169</v>
      </c>
      <c r="E23" s="15" t="s">
        <v>313</v>
      </c>
      <c r="F23" s="103">
        <v>45112616</v>
      </c>
      <c r="G23" s="15" t="s">
        <v>354</v>
      </c>
      <c r="H23" s="106">
        <v>22</v>
      </c>
      <c r="I23">
        <v>17</v>
      </c>
      <c r="J23">
        <v>8</v>
      </c>
      <c r="K23" s="9">
        <v>46</v>
      </c>
    </row>
    <row r="24" spans="1:11" x14ac:dyDescent="0.25">
      <c r="A24" s="14">
        <v>23</v>
      </c>
      <c r="B24" s="2">
        <f t="shared" si="0"/>
        <v>412</v>
      </c>
      <c r="C24" s="11" t="s">
        <v>236</v>
      </c>
      <c r="D24" s="105">
        <v>75696731</v>
      </c>
      <c r="E24" s="15" t="s">
        <v>314</v>
      </c>
      <c r="F24" s="103">
        <v>46304052</v>
      </c>
      <c r="G24" s="15" t="s">
        <v>355</v>
      </c>
      <c r="H24" s="106">
        <v>44</v>
      </c>
      <c r="I24">
        <v>65</v>
      </c>
      <c r="J24">
        <v>32</v>
      </c>
      <c r="K24" s="9">
        <v>54</v>
      </c>
    </row>
    <row r="25" spans="1:11" x14ac:dyDescent="0.25">
      <c r="A25" s="14">
        <v>24</v>
      </c>
      <c r="B25" s="2">
        <f t="shared" si="0"/>
        <v>413</v>
      </c>
      <c r="C25" s="11" t="s">
        <v>237</v>
      </c>
      <c r="D25" s="105">
        <v>5866341</v>
      </c>
      <c r="E25" s="15" t="s">
        <v>315</v>
      </c>
      <c r="F25" s="103">
        <v>77238636</v>
      </c>
      <c r="G25" s="15" t="s">
        <v>356</v>
      </c>
      <c r="H25" s="106">
        <v>45</v>
      </c>
      <c r="I25">
        <v>36</v>
      </c>
      <c r="J25">
        <v>18</v>
      </c>
      <c r="K25" s="9">
        <v>29</v>
      </c>
    </row>
    <row r="26" spans="1:11" x14ac:dyDescent="0.25">
      <c r="A26" s="14">
        <v>25</v>
      </c>
      <c r="B26" s="2">
        <f t="shared" si="0"/>
        <v>414</v>
      </c>
      <c r="C26" s="11" t="s">
        <v>238</v>
      </c>
      <c r="D26" s="105">
        <v>70335091</v>
      </c>
      <c r="E26" s="15" t="s">
        <v>316</v>
      </c>
      <c r="F26" s="103">
        <v>72775099</v>
      </c>
      <c r="G26" s="15" t="s">
        <v>357</v>
      </c>
      <c r="H26" s="106">
        <v>40</v>
      </c>
      <c r="I26">
        <v>32</v>
      </c>
      <c r="J26">
        <v>16</v>
      </c>
      <c r="K26" s="9">
        <v>62</v>
      </c>
    </row>
    <row r="27" spans="1:11" x14ac:dyDescent="0.25">
      <c r="A27" s="14">
        <v>26</v>
      </c>
      <c r="B27" s="2">
        <f t="shared" si="0"/>
        <v>415</v>
      </c>
      <c r="C27" s="11" t="s">
        <v>305</v>
      </c>
      <c r="D27" s="105">
        <v>45246497</v>
      </c>
      <c r="E27" s="15" t="s">
        <v>317</v>
      </c>
      <c r="F27" s="103">
        <v>45510548</v>
      </c>
      <c r="G27" s="15" t="s">
        <v>358</v>
      </c>
      <c r="H27" s="106">
        <v>35</v>
      </c>
      <c r="I27">
        <v>28</v>
      </c>
      <c r="J27">
        <v>14</v>
      </c>
      <c r="K27" s="9"/>
    </row>
    <row r="28" spans="1:11" x14ac:dyDescent="0.25">
      <c r="A28" s="14">
        <v>27</v>
      </c>
      <c r="B28" s="2">
        <f t="shared" si="0"/>
        <v>416</v>
      </c>
      <c r="C28" s="11" t="s">
        <v>239</v>
      </c>
      <c r="D28" s="105">
        <v>75670123</v>
      </c>
      <c r="E28" s="15" t="s">
        <v>318</v>
      </c>
      <c r="F28" s="103">
        <v>80501223</v>
      </c>
      <c r="G28" s="15" t="s">
        <v>359</v>
      </c>
      <c r="H28" s="106">
        <v>46</v>
      </c>
      <c r="I28" s="113">
        <v>36</v>
      </c>
      <c r="J28" s="113">
        <v>18</v>
      </c>
      <c r="K28" s="9">
        <v>87</v>
      </c>
    </row>
    <row r="29" spans="1:11" x14ac:dyDescent="0.25">
      <c r="A29" s="14">
        <v>28</v>
      </c>
      <c r="B29" s="2">
        <f t="shared" si="0"/>
        <v>417</v>
      </c>
      <c r="C29" s="11" t="s">
        <v>240</v>
      </c>
      <c r="D29" s="105">
        <v>74071097</v>
      </c>
      <c r="E29" s="15" t="s">
        <v>319</v>
      </c>
      <c r="F29" s="103">
        <v>45806184</v>
      </c>
      <c r="G29" s="15" t="s">
        <v>360</v>
      </c>
      <c r="H29" s="106">
        <v>32</v>
      </c>
      <c r="I29">
        <v>25</v>
      </c>
      <c r="J29">
        <v>12</v>
      </c>
      <c r="K29" s="9">
        <v>26</v>
      </c>
    </row>
    <row r="30" spans="1:11" x14ac:dyDescent="0.25">
      <c r="A30" s="14">
        <v>29</v>
      </c>
      <c r="B30" s="2">
        <f t="shared" si="0"/>
        <v>418</v>
      </c>
      <c r="C30" s="11" t="s">
        <v>241</v>
      </c>
      <c r="D30" s="105">
        <v>77034847</v>
      </c>
      <c r="E30" s="15" t="s">
        <v>320</v>
      </c>
      <c r="F30" s="103">
        <v>62828346</v>
      </c>
      <c r="G30" s="15" t="s">
        <v>361</v>
      </c>
      <c r="H30" s="106">
        <v>54</v>
      </c>
      <c r="I30">
        <v>43</v>
      </c>
      <c r="J30">
        <v>21</v>
      </c>
      <c r="K30" s="9">
        <v>38</v>
      </c>
    </row>
    <row r="31" spans="1:11" x14ac:dyDescent="0.25">
      <c r="A31" s="14">
        <v>30</v>
      </c>
      <c r="B31" s="2">
        <f t="shared" si="0"/>
        <v>419</v>
      </c>
      <c r="C31" s="11" t="s">
        <v>242</v>
      </c>
      <c r="D31" s="105">
        <v>71646288</v>
      </c>
      <c r="E31" s="15" t="s">
        <v>321</v>
      </c>
      <c r="F31" s="103">
        <v>43325997</v>
      </c>
      <c r="G31" s="15" t="s">
        <v>362</v>
      </c>
      <c r="H31" s="106">
        <v>56</v>
      </c>
      <c r="I31">
        <v>44</v>
      </c>
      <c r="J31">
        <v>22</v>
      </c>
      <c r="K31" s="9">
        <v>28</v>
      </c>
    </row>
    <row r="32" spans="1:11" x14ac:dyDescent="0.25">
      <c r="A32" s="14">
        <v>31</v>
      </c>
      <c r="B32" s="2">
        <f t="shared" si="0"/>
        <v>420</v>
      </c>
      <c r="C32" s="11" t="s">
        <v>115</v>
      </c>
      <c r="D32" s="105">
        <v>42584191</v>
      </c>
      <c r="E32" s="15" t="s">
        <v>322</v>
      </c>
      <c r="F32" s="103">
        <v>70551429</v>
      </c>
      <c r="G32" s="15" t="s">
        <v>363</v>
      </c>
      <c r="H32" s="106">
        <v>25</v>
      </c>
      <c r="I32">
        <v>20</v>
      </c>
      <c r="J32">
        <v>10</v>
      </c>
      <c r="K32" s="9">
        <v>36</v>
      </c>
    </row>
    <row r="33" spans="1:11" x14ac:dyDescent="0.25">
      <c r="A33" s="14">
        <v>32</v>
      </c>
      <c r="B33" s="2">
        <f t="shared" si="0"/>
        <v>421</v>
      </c>
      <c r="C33" s="11" t="s">
        <v>243</v>
      </c>
      <c r="D33" s="105"/>
      <c r="E33" s="15"/>
      <c r="F33" s="103"/>
      <c r="G33" s="15"/>
      <c r="H33" s="106">
        <v>50</v>
      </c>
      <c r="I33">
        <v>40</v>
      </c>
      <c r="J33">
        <v>20</v>
      </c>
      <c r="K33" s="9">
        <v>59</v>
      </c>
    </row>
    <row r="34" spans="1:11" x14ac:dyDescent="0.25">
      <c r="A34" s="14">
        <v>33</v>
      </c>
      <c r="B34" s="2">
        <f t="shared" si="0"/>
        <v>422</v>
      </c>
      <c r="C34" s="11" t="s">
        <v>244</v>
      </c>
      <c r="D34" s="105"/>
      <c r="E34" s="15"/>
      <c r="F34" s="103"/>
      <c r="G34" s="15"/>
      <c r="H34" s="106">
        <v>40</v>
      </c>
      <c r="I34">
        <v>32</v>
      </c>
      <c r="J34">
        <v>16</v>
      </c>
      <c r="K34" s="9">
        <v>30</v>
      </c>
    </row>
    <row r="35" spans="1:11" x14ac:dyDescent="0.25">
      <c r="A35" s="14">
        <v>34</v>
      </c>
      <c r="B35" s="2">
        <f t="shared" si="0"/>
        <v>423</v>
      </c>
      <c r="C35" s="11" t="s">
        <v>245</v>
      </c>
      <c r="D35" s="105">
        <v>41562951</v>
      </c>
      <c r="E35" s="15" t="s">
        <v>323</v>
      </c>
      <c r="F35" s="103">
        <v>47567832</v>
      </c>
      <c r="G35" s="15" t="s">
        <v>364</v>
      </c>
      <c r="H35" s="106">
        <v>28</v>
      </c>
      <c r="I35">
        <v>22</v>
      </c>
      <c r="J35">
        <v>11</v>
      </c>
      <c r="K35" s="9">
        <v>62</v>
      </c>
    </row>
    <row r="36" spans="1:11" x14ac:dyDescent="0.25">
      <c r="A36" s="14">
        <v>35</v>
      </c>
      <c r="B36" s="2">
        <f t="shared" si="0"/>
        <v>424</v>
      </c>
      <c r="C36" s="11" t="s">
        <v>246</v>
      </c>
      <c r="D36" s="105">
        <v>5926279</v>
      </c>
      <c r="E36" s="15" t="s">
        <v>324</v>
      </c>
      <c r="F36" s="103">
        <v>41626241</v>
      </c>
      <c r="G36" s="15" t="s">
        <v>365</v>
      </c>
      <c r="H36" s="106">
        <v>42</v>
      </c>
      <c r="I36">
        <v>33</v>
      </c>
      <c r="J36">
        <v>16</v>
      </c>
      <c r="K36" s="9">
        <v>45</v>
      </c>
    </row>
    <row r="37" spans="1:11" x14ac:dyDescent="0.25">
      <c r="A37" s="14">
        <v>36</v>
      </c>
      <c r="B37" s="2">
        <f t="shared" si="0"/>
        <v>425</v>
      </c>
      <c r="C37" s="11" t="s">
        <v>247</v>
      </c>
      <c r="D37" s="105">
        <v>5936800</v>
      </c>
      <c r="E37" s="15" t="s">
        <v>325</v>
      </c>
      <c r="F37" s="103">
        <v>48597742</v>
      </c>
      <c r="G37" s="15" t="s">
        <v>366</v>
      </c>
      <c r="H37" s="106">
        <v>70</v>
      </c>
      <c r="I37">
        <v>56</v>
      </c>
      <c r="J37">
        <v>28</v>
      </c>
      <c r="K37" s="9">
        <v>56</v>
      </c>
    </row>
    <row r="38" spans="1:11" x14ac:dyDescent="0.25">
      <c r="A38" s="14">
        <v>37</v>
      </c>
      <c r="B38" s="2">
        <f t="shared" si="0"/>
        <v>426</v>
      </c>
      <c r="C38" s="11" t="s">
        <v>248</v>
      </c>
      <c r="D38" s="105">
        <v>77016409</v>
      </c>
      <c r="E38" s="15" t="s">
        <v>326</v>
      </c>
      <c r="F38" s="103">
        <v>47776413</v>
      </c>
      <c r="G38" s="15" t="s">
        <v>367</v>
      </c>
      <c r="H38" s="106">
        <v>45</v>
      </c>
      <c r="I38">
        <v>36</v>
      </c>
      <c r="J38">
        <v>18</v>
      </c>
      <c r="K38" s="9">
        <v>55</v>
      </c>
    </row>
    <row r="39" spans="1:11" x14ac:dyDescent="0.25">
      <c r="A39" s="14">
        <v>38</v>
      </c>
      <c r="B39" s="2">
        <f t="shared" si="0"/>
        <v>427</v>
      </c>
      <c r="C39" s="11" t="s">
        <v>249</v>
      </c>
      <c r="D39" s="105">
        <v>45852326</v>
      </c>
      <c r="E39" s="15" t="s">
        <v>327</v>
      </c>
      <c r="F39" s="103">
        <v>5922962</v>
      </c>
      <c r="G39" s="15" t="s">
        <v>368</v>
      </c>
      <c r="H39" s="106">
        <v>43</v>
      </c>
      <c r="I39">
        <v>34</v>
      </c>
      <c r="J39">
        <v>17</v>
      </c>
      <c r="K39" s="9">
        <v>35</v>
      </c>
    </row>
    <row r="40" spans="1:11" x14ac:dyDescent="0.25">
      <c r="A40" s="14">
        <v>39</v>
      </c>
      <c r="B40" s="2">
        <f t="shared" si="0"/>
        <v>428</v>
      </c>
      <c r="C40" s="11" t="s">
        <v>250</v>
      </c>
      <c r="D40" s="105">
        <v>46359770</v>
      </c>
      <c r="E40" s="15" t="s">
        <v>328</v>
      </c>
      <c r="F40" s="103">
        <v>5868951</v>
      </c>
      <c r="G40" s="15" t="s">
        <v>369</v>
      </c>
      <c r="H40" s="106">
        <v>42</v>
      </c>
      <c r="I40">
        <v>33</v>
      </c>
      <c r="J40">
        <v>16</v>
      </c>
      <c r="K40" s="9">
        <v>92</v>
      </c>
    </row>
    <row r="41" spans="1:11" x14ac:dyDescent="0.25">
      <c r="A41" s="14">
        <v>40</v>
      </c>
      <c r="B41" s="2">
        <f t="shared" si="0"/>
        <v>429</v>
      </c>
      <c r="C41" s="11" t="s">
        <v>251</v>
      </c>
      <c r="D41" s="105">
        <v>46661514</v>
      </c>
      <c r="E41" s="15" t="s">
        <v>329</v>
      </c>
      <c r="F41" s="103">
        <v>44630073</v>
      </c>
      <c r="G41" s="15" t="s">
        <v>370</v>
      </c>
      <c r="H41" s="106">
        <v>108</v>
      </c>
      <c r="I41">
        <v>86</v>
      </c>
      <c r="J41">
        <v>43</v>
      </c>
      <c r="K41" s="9">
        <v>71</v>
      </c>
    </row>
    <row r="42" spans="1:11" x14ac:dyDescent="0.25">
      <c r="A42" s="14">
        <v>41</v>
      </c>
      <c r="B42" s="2">
        <f t="shared" si="0"/>
        <v>430</v>
      </c>
      <c r="C42" s="11" t="s">
        <v>252</v>
      </c>
      <c r="D42" s="105">
        <v>76823124</v>
      </c>
      <c r="E42" s="15" t="s">
        <v>330</v>
      </c>
      <c r="F42" s="103">
        <v>44419162</v>
      </c>
      <c r="G42" s="15" t="s">
        <v>371</v>
      </c>
      <c r="H42" s="106">
        <v>52</v>
      </c>
      <c r="I42">
        <v>41</v>
      </c>
      <c r="J42">
        <v>20</v>
      </c>
      <c r="K42" s="9">
        <v>49</v>
      </c>
    </row>
    <row r="43" spans="1:11" x14ac:dyDescent="0.25">
      <c r="A43" s="14">
        <v>42</v>
      </c>
      <c r="B43" s="2">
        <f t="shared" si="0"/>
        <v>431</v>
      </c>
      <c r="C43" s="11" t="s">
        <v>253</v>
      </c>
      <c r="D43" s="105">
        <v>42686653</v>
      </c>
      <c r="E43" s="15" t="s">
        <v>331</v>
      </c>
      <c r="F43" s="103">
        <v>49008689</v>
      </c>
      <c r="G43" s="15" t="s">
        <v>372</v>
      </c>
      <c r="H43" s="106">
        <v>34</v>
      </c>
      <c r="I43">
        <v>27</v>
      </c>
      <c r="J43">
        <v>13</v>
      </c>
      <c r="K43" s="9">
        <v>31</v>
      </c>
    </row>
    <row r="44" spans="1:11" x14ac:dyDescent="0.25">
      <c r="A44" s="14">
        <v>43</v>
      </c>
      <c r="B44" s="2">
        <f t="shared" si="0"/>
        <v>432</v>
      </c>
      <c r="C44" s="11" t="s">
        <v>254</v>
      </c>
      <c r="D44" s="105">
        <v>43058325</v>
      </c>
      <c r="E44" s="15" t="s">
        <v>332</v>
      </c>
      <c r="F44" s="103">
        <v>43220828</v>
      </c>
      <c r="G44" s="15" t="s">
        <v>373</v>
      </c>
      <c r="H44" s="106">
        <v>45</v>
      </c>
      <c r="I44">
        <v>36</v>
      </c>
      <c r="J44">
        <v>18</v>
      </c>
      <c r="K44" s="9">
        <v>94</v>
      </c>
    </row>
    <row r="45" spans="1:11" x14ac:dyDescent="0.25">
      <c r="A45" s="14">
        <v>44</v>
      </c>
      <c r="B45" s="2">
        <f t="shared" si="0"/>
        <v>433</v>
      </c>
      <c r="C45" s="11" t="s">
        <v>255</v>
      </c>
      <c r="D45" s="105">
        <v>48634655</v>
      </c>
      <c r="E45" s="15" t="s">
        <v>333</v>
      </c>
      <c r="F45" s="103">
        <v>47756823</v>
      </c>
      <c r="G45" s="15" t="s">
        <v>374</v>
      </c>
      <c r="H45" s="106">
        <v>41</v>
      </c>
      <c r="I45">
        <v>32</v>
      </c>
      <c r="J45">
        <v>16</v>
      </c>
      <c r="K45" s="9">
        <v>40</v>
      </c>
    </row>
    <row r="46" spans="1:11" x14ac:dyDescent="0.25">
      <c r="A46" s="14">
        <v>45</v>
      </c>
      <c r="B46" s="2">
        <f t="shared" si="0"/>
        <v>434</v>
      </c>
      <c r="C46" s="11" t="s">
        <v>256</v>
      </c>
      <c r="D46" s="105"/>
      <c r="E46" s="15"/>
      <c r="F46" s="103"/>
      <c r="G46" s="15"/>
      <c r="H46" s="106">
        <v>55</v>
      </c>
      <c r="I46">
        <v>44</v>
      </c>
      <c r="J46">
        <v>22</v>
      </c>
      <c r="K46" s="9">
        <v>24</v>
      </c>
    </row>
    <row r="47" spans="1:11" x14ac:dyDescent="0.25">
      <c r="A47" s="14">
        <v>46</v>
      </c>
      <c r="B47" s="2">
        <f t="shared" si="0"/>
        <v>435</v>
      </c>
      <c r="C47" s="11" t="s">
        <v>257</v>
      </c>
      <c r="D47" s="105">
        <v>45164125</v>
      </c>
      <c r="E47" s="15" t="s">
        <v>334</v>
      </c>
      <c r="F47" s="103">
        <v>74447845</v>
      </c>
      <c r="G47" s="15" t="s">
        <v>375</v>
      </c>
      <c r="H47" s="106">
        <v>31</v>
      </c>
      <c r="I47">
        <v>24</v>
      </c>
      <c r="J47">
        <v>12</v>
      </c>
      <c r="K47" s="9">
        <v>32</v>
      </c>
    </row>
    <row r="48" spans="1:11" x14ac:dyDescent="0.25">
      <c r="A48" s="14">
        <v>47</v>
      </c>
      <c r="B48" s="2">
        <f t="shared" si="0"/>
        <v>436</v>
      </c>
      <c r="C48" s="11" t="s">
        <v>258</v>
      </c>
      <c r="D48" s="105">
        <v>44683497</v>
      </c>
      <c r="E48" s="15" t="s">
        <v>335</v>
      </c>
      <c r="F48" s="103">
        <v>41873042</v>
      </c>
      <c r="G48" s="15" t="s">
        <v>376</v>
      </c>
      <c r="H48" s="106">
        <v>33</v>
      </c>
      <c r="I48">
        <v>26</v>
      </c>
      <c r="J48">
        <v>13</v>
      </c>
      <c r="K48" s="9">
        <v>45</v>
      </c>
    </row>
    <row r="49" spans="1:11" x14ac:dyDescent="0.25">
      <c r="A49" s="14">
        <v>48</v>
      </c>
      <c r="B49" s="2">
        <f t="shared" si="0"/>
        <v>437</v>
      </c>
      <c r="C49" s="11" t="s">
        <v>259</v>
      </c>
      <c r="D49" s="105">
        <v>45611125</v>
      </c>
      <c r="E49" s="15" t="s">
        <v>336</v>
      </c>
      <c r="F49" s="103">
        <v>73905236</v>
      </c>
      <c r="G49" s="15" t="s">
        <v>377</v>
      </c>
      <c r="H49" s="106">
        <v>37</v>
      </c>
      <c r="I49">
        <v>29</v>
      </c>
      <c r="J49">
        <v>14</v>
      </c>
      <c r="K49" s="9">
        <v>59</v>
      </c>
    </row>
    <row r="50" spans="1:11" x14ac:dyDescent="0.25">
      <c r="A50" s="14">
        <v>49</v>
      </c>
      <c r="B50" s="2">
        <f t="shared" si="0"/>
        <v>438</v>
      </c>
      <c r="C50" s="11" t="s">
        <v>260</v>
      </c>
      <c r="D50" s="108">
        <v>42666437</v>
      </c>
      <c r="E50" s="109" t="s">
        <v>337</v>
      </c>
      <c r="F50" s="110">
        <v>5867823</v>
      </c>
      <c r="G50" s="111" t="s">
        <v>378</v>
      </c>
      <c r="H50" s="106">
        <v>46</v>
      </c>
      <c r="I50">
        <v>36</v>
      </c>
      <c r="J50">
        <v>18</v>
      </c>
      <c r="K50" s="9">
        <v>44</v>
      </c>
    </row>
    <row r="51" spans="1:11" x14ac:dyDescent="0.25">
      <c r="A51" s="14">
        <v>50</v>
      </c>
      <c r="B51" s="2">
        <f t="shared" si="0"/>
        <v>439</v>
      </c>
      <c r="C51" s="11" t="s">
        <v>261</v>
      </c>
      <c r="D51" s="105">
        <v>45436652</v>
      </c>
      <c r="E51" s="15" t="s">
        <v>338</v>
      </c>
      <c r="F51" s="103">
        <v>41557494</v>
      </c>
      <c r="G51" s="15" t="s">
        <v>379</v>
      </c>
      <c r="H51" s="106">
        <v>31</v>
      </c>
      <c r="I51">
        <v>24</v>
      </c>
      <c r="J51">
        <v>12</v>
      </c>
      <c r="K51" s="9">
        <v>32</v>
      </c>
    </row>
    <row r="52" spans="1:11" x14ac:dyDescent="0.25">
      <c r="A52" s="14">
        <v>51</v>
      </c>
      <c r="B52" s="2">
        <f t="shared" si="0"/>
        <v>440</v>
      </c>
      <c r="C52" s="11" t="s">
        <v>262</v>
      </c>
      <c r="D52" s="105">
        <v>46552822</v>
      </c>
      <c r="E52" s="15" t="s">
        <v>339</v>
      </c>
      <c r="F52" s="103">
        <v>62889029</v>
      </c>
      <c r="G52" s="15" t="s">
        <v>380</v>
      </c>
      <c r="H52" s="106">
        <v>50</v>
      </c>
      <c r="I52">
        <v>40</v>
      </c>
      <c r="J52">
        <v>20</v>
      </c>
      <c r="K52" s="9">
        <v>46</v>
      </c>
    </row>
    <row r="53" spans="1:11" x14ac:dyDescent="0.25">
      <c r="A53" s="14">
        <v>52</v>
      </c>
      <c r="B53" s="2">
        <f t="shared" si="0"/>
        <v>441</v>
      </c>
      <c r="C53" s="11" t="s">
        <v>263</v>
      </c>
      <c r="D53" s="105">
        <v>70551404</v>
      </c>
      <c r="E53" s="15" t="s">
        <v>340</v>
      </c>
      <c r="F53" s="103">
        <v>61353192</v>
      </c>
      <c r="G53" s="15" t="s">
        <v>381</v>
      </c>
      <c r="H53" s="106">
        <v>22</v>
      </c>
      <c r="I53">
        <v>17</v>
      </c>
      <c r="J53">
        <v>8</v>
      </c>
      <c r="K53" s="9">
        <v>23</v>
      </c>
    </row>
    <row r="54" spans="1:11" x14ac:dyDescent="0.25">
      <c r="A54" s="14">
        <v>53</v>
      </c>
      <c r="B54" s="2">
        <f t="shared" si="0"/>
        <v>442</v>
      </c>
      <c r="C54" s="11" t="s">
        <v>264</v>
      </c>
      <c r="D54" s="105">
        <v>47336203</v>
      </c>
      <c r="E54" s="15" t="s">
        <v>341</v>
      </c>
      <c r="F54" s="103">
        <v>61353401</v>
      </c>
      <c r="G54" s="15" t="s">
        <v>382</v>
      </c>
      <c r="H54" s="106">
        <v>23</v>
      </c>
      <c r="I54">
        <v>18</v>
      </c>
      <c r="J54">
        <v>9</v>
      </c>
      <c r="K54" s="9">
        <v>54</v>
      </c>
    </row>
    <row r="55" spans="1:11" x14ac:dyDescent="0.25">
      <c r="A55" s="14">
        <v>54</v>
      </c>
      <c r="B55" s="2">
        <f t="shared" si="0"/>
        <v>443</v>
      </c>
      <c r="C55" s="11" t="s">
        <v>265</v>
      </c>
      <c r="D55" s="105"/>
      <c r="E55" s="15"/>
      <c r="F55" s="103"/>
      <c r="G55" s="15"/>
      <c r="H55" s="106">
        <v>50</v>
      </c>
      <c r="I55">
        <v>40</v>
      </c>
      <c r="J55">
        <v>20</v>
      </c>
      <c r="K55" s="9">
        <v>60</v>
      </c>
    </row>
    <row r="56" spans="1:11" x14ac:dyDescent="0.25">
      <c r="A56" s="14">
        <v>55</v>
      </c>
      <c r="B56" s="2">
        <f t="shared" si="0"/>
        <v>444</v>
      </c>
      <c r="C56" s="11" t="s">
        <v>266</v>
      </c>
      <c r="D56" s="105">
        <v>42053667</v>
      </c>
      <c r="E56" s="15" t="s">
        <v>342</v>
      </c>
      <c r="F56" s="103">
        <v>45737873</v>
      </c>
      <c r="G56" s="15" t="s">
        <v>383</v>
      </c>
      <c r="H56" s="106">
        <v>38</v>
      </c>
      <c r="I56">
        <v>30</v>
      </c>
      <c r="J56">
        <v>15</v>
      </c>
      <c r="K56" s="9">
        <v>43</v>
      </c>
    </row>
    <row r="57" spans="1:11" x14ac:dyDescent="0.25">
      <c r="A57" s="14">
        <v>56</v>
      </c>
      <c r="B57" s="2">
        <f t="shared" si="0"/>
        <v>445</v>
      </c>
      <c r="C57" s="11" t="s">
        <v>267</v>
      </c>
      <c r="D57" s="105">
        <v>40210849</v>
      </c>
      <c r="E57" s="15" t="s">
        <v>343</v>
      </c>
      <c r="F57" s="103">
        <v>77057307</v>
      </c>
      <c r="G57" s="15" t="s">
        <v>384</v>
      </c>
      <c r="H57" s="106">
        <v>30</v>
      </c>
      <c r="I57">
        <v>24</v>
      </c>
      <c r="J57">
        <v>12</v>
      </c>
      <c r="K57" s="9">
        <v>40</v>
      </c>
    </row>
    <row r="58" spans="1:11" x14ac:dyDescent="0.25">
      <c r="A58" s="14">
        <v>57</v>
      </c>
      <c r="B58" s="2">
        <f t="shared" si="0"/>
        <v>446</v>
      </c>
      <c r="C58" s="11" t="s">
        <v>268</v>
      </c>
      <c r="D58" s="105">
        <v>76313863</v>
      </c>
      <c r="E58" s="15" t="s">
        <v>344</v>
      </c>
      <c r="F58" s="103">
        <v>63423441</v>
      </c>
      <c r="G58" s="15" t="s">
        <v>385</v>
      </c>
      <c r="H58" s="106">
        <v>36</v>
      </c>
      <c r="I58">
        <v>28</v>
      </c>
      <c r="J58">
        <v>14</v>
      </c>
      <c r="K58" s="9">
        <v>32</v>
      </c>
    </row>
    <row r="59" spans="1:11" x14ac:dyDescent="0.25">
      <c r="A59" s="14">
        <v>58</v>
      </c>
      <c r="B59" s="2">
        <f t="shared" si="0"/>
        <v>447</v>
      </c>
      <c r="C59" s="11" t="s">
        <v>269</v>
      </c>
      <c r="D59" s="105">
        <v>47936560</v>
      </c>
      <c r="E59" s="15" t="s">
        <v>345</v>
      </c>
      <c r="F59" s="103">
        <v>75696722</v>
      </c>
      <c r="G59" s="15" t="s">
        <v>386</v>
      </c>
      <c r="H59" s="106">
        <v>52</v>
      </c>
      <c r="I59">
        <v>41</v>
      </c>
      <c r="J59">
        <v>20</v>
      </c>
      <c r="K59" s="9">
        <v>67</v>
      </c>
    </row>
    <row r="60" spans="1:11" x14ac:dyDescent="0.25">
      <c r="A60" s="14">
        <v>59</v>
      </c>
      <c r="B60" s="2">
        <f t="shared" si="0"/>
        <v>448</v>
      </c>
      <c r="C60" s="11" t="s">
        <v>270</v>
      </c>
      <c r="D60" s="105">
        <v>48784454</v>
      </c>
      <c r="E60" s="15" t="s">
        <v>346</v>
      </c>
      <c r="F60" s="103">
        <v>63249377</v>
      </c>
      <c r="G60" s="15" t="s">
        <v>387</v>
      </c>
      <c r="H60" s="106">
        <v>50</v>
      </c>
      <c r="I60">
        <v>40</v>
      </c>
      <c r="J60">
        <v>20</v>
      </c>
      <c r="K60" s="9">
        <v>50</v>
      </c>
    </row>
    <row r="61" spans="1:11" x14ac:dyDescent="0.25">
      <c r="A61" s="14">
        <v>60</v>
      </c>
      <c r="B61" s="2">
        <f>B60+1</f>
        <v>449</v>
      </c>
      <c r="C61" s="11" t="s">
        <v>40</v>
      </c>
      <c r="D61" s="105">
        <v>5868354</v>
      </c>
      <c r="E61" s="15" t="s">
        <v>116</v>
      </c>
      <c r="F61" s="103">
        <v>62250623</v>
      </c>
      <c r="G61" s="15" t="s">
        <v>117</v>
      </c>
      <c r="H61" s="106">
        <v>35</v>
      </c>
      <c r="I61">
        <v>28</v>
      </c>
      <c r="J61">
        <v>14</v>
      </c>
      <c r="K61" s="9">
        <v>44</v>
      </c>
    </row>
    <row r="62" spans="1:11" x14ac:dyDescent="0.25">
      <c r="A62" s="14">
        <v>61</v>
      </c>
      <c r="B62" s="2">
        <f t="shared" si="0"/>
        <v>450</v>
      </c>
      <c r="C62" s="11" t="s">
        <v>92</v>
      </c>
      <c r="D62" s="105">
        <v>77055633</v>
      </c>
      <c r="E62" s="15" t="s">
        <v>118</v>
      </c>
      <c r="F62" s="103">
        <v>46947914</v>
      </c>
      <c r="G62" s="15" t="s">
        <v>119</v>
      </c>
      <c r="H62" s="106">
        <v>35</v>
      </c>
      <c r="I62">
        <v>28</v>
      </c>
      <c r="J62">
        <v>14</v>
      </c>
      <c r="K62" s="9">
        <v>36</v>
      </c>
    </row>
    <row r="63" spans="1:11" x14ac:dyDescent="0.25">
      <c r="A63" s="14">
        <v>62</v>
      </c>
      <c r="B63" s="2">
        <f t="shared" si="0"/>
        <v>451</v>
      </c>
      <c r="C63" s="11" t="s">
        <v>32</v>
      </c>
      <c r="D63" s="105">
        <v>40259073</v>
      </c>
      <c r="E63" s="15" t="s">
        <v>120</v>
      </c>
      <c r="F63" s="103">
        <v>47475963</v>
      </c>
      <c r="G63" s="15" t="s">
        <v>121</v>
      </c>
      <c r="H63" s="106">
        <v>39</v>
      </c>
      <c r="I63">
        <v>31</v>
      </c>
      <c r="J63">
        <v>15</v>
      </c>
      <c r="K63" s="9">
        <v>47</v>
      </c>
    </row>
    <row r="64" spans="1:11" x14ac:dyDescent="0.25">
      <c r="A64" s="14">
        <v>63</v>
      </c>
      <c r="B64" s="2">
        <f t="shared" si="0"/>
        <v>452</v>
      </c>
      <c r="C64" s="114" t="s">
        <v>275</v>
      </c>
      <c r="D64" s="105"/>
      <c r="E64" s="15"/>
      <c r="F64" s="103"/>
      <c r="G64" s="15"/>
      <c r="H64" s="106">
        <v>16</v>
      </c>
      <c r="I64">
        <v>12</v>
      </c>
      <c r="J64">
        <v>6</v>
      </c>
      <c r="K64" s="9">
        <v>30</v>
      </c>
    </row>
    <row r="65" spans="1:11" x14ac:dyDescent="0.25">
      <c r="A65" s="14">
        <v>64</v>
      </c>
      <c r="B65" s="2">
        <f t="shared" si="0"/>
        <v>453</v>
      </c>
      <c r="C65" s="11" t="s">
        <v>84</v>
      </c>
      <c r="D65" s="105">
        <v>45218482</v>
      </c>
      <c r="E65" s="15" t="s">
        <v>122</v>
      </c>
      <c r="F65" s="103">
        <v>45246478</v>
      </c>
      <c r="G65" s="15" t="s">
        <v>123</v>
      </c>
      <c r="H65" s="106">
        <v>131</v>
      </c>
      <c r="I65">
        <v>104</v>
      </c>
      <c r="J65">
        <v>52</v>
      </c>
      <c r="K65" s="9">
        <v>34</v>
      </c>
    </row>
    <row r="66" spans="1:11" x14ac:dyDescent="0.25">
      <c r="A66" s="14">
        <v>65</v>
      </c>
      <c r="B66" s="2">
        <f t="shared" si="0"/>
        <v>454</v>
      </c>
      <c r="C66" s="11" t="s">
        <v>38</v>
      </c>
      <c r="D66" s="105">
        <v>76952763</v>
      </c>
      <c r="E66" s="15" t="s">
        <v>124</v>
      </c>
      <c r="F66" s="103">
        <v>47184127</v>
      </c>
      <c r="G66" s="15" t="s">
        <v>125</v>
      </c>
      <c r="H66" s="106">
        <v>20</v>
      </c>
      <c r="I66">
        <v>16</v>
      </c>
      <c r="J66">
        <v>8</v>
      </c>
      <c r="K66" s="9">
        <v>31</v>
      </c>
    </row>
    <row r="67" spans="1:11" x14ac:dyDescent="0.25">
      <c r="A67" s="14">
        <v>66</v>
      </c>
      <c r="B67" s="2">
        <f t="shared" ref="B67:B127" si="1">B66+1</f>
        <v>455</v>
      </c>
      <c r="C67" s="11" t="s">
        <v>34</v>
      </c>
      <c r="D67" s="105">
        <v>47155293</v>
      </c>
      <c r="E67" s="15" t="s">
        <v>126</v>
      </c>
      <c r="F67" s="103">
        <v>43057450</v>
      </c>
      <c r="G67" s="15" t="s">
        <v>127</v>
      </c>
      <c r="H67" s="106">
        <v>49</v>
      </c>
      <c r="I67">
        <v>39</v>
      </c>
      <c r="J67">
        <v>19</v>
      </c>
      <c r="K67" s="9">
        <v>20</v>
      </c>
    </row>
    <row r="68" spans="1:11" x14ac:dyDescent="0.25">
      <c r="A68" s="14">
        <v>67</v>
      </c>
      <c r="B68" s="2">
        <f t="shared" si="1"/>
        <v>456</v>
      </c>
      <c r="C68" s="11" t="s">
        <v>36</v>
      </c>
      <c r="D68" s="105">
        <v>79217033</v>
      </c>
      <c r="E68" s="15" t="s">
        <v>128</v>
      </c>
      <c r="F68" s="103">
        <v>44039571</v>
      </c>
      <c r="G68" s="15" t="s">
        <v>129</v>
      </c>
      <c r="H68" s="106">
        <v>37</v>
      </c>
      <c r="I68">
        <v>29</v>
      </c>
      <c r="J68">
        <v>14</v>
      </c>
      <c r="K68" s="9">
        <v>103</v>
      </c>
    </row>
    <row r="69" spans="1:11" x14ac:dyDescent="0.25">
      <c r="A69" s="14">
        <v>68</v>
      </c>
      <c r="B69" s="2">
        <f t="shared" si="1"/>
        <v>457</v>
      </c>
      <c r="C69" s="11" t="s">
        <v>98</v>
      </c>
      <c r="D69" s="105">
        <v>60900224</v>
      </c>
      <c r="E69" s="15" t="s">
        <v>130</v>
      </c>
      <c r="F69" s="103">
        <v>62399994</v>
      </c>
      <c r="G69" s="15" t="s">
        <v>131</v>
      </c>
      <c r="H69" s="106">
        <v>18</v>
      </c>
      <c r="I69">
        <v>14</v>
      </c>
      <c r="J69">
        <v>7</v>
      </c>
      <c r="K69" s="9">
        <v>15</v>
      </c>
    </row>
    <row r="70" spans="1:11" x14ac:dyDescent="0.25">
      <c r="A70" s="14">
        <v>69</v>
      </c>
      <c r="B70" s="2">
        <f t="shared" si="1"/>
        <v>458</v>
      </c>
      <c r="C70" s="11" t="s">
        <v>43</v>
      </c>
      <c r="D70" s="105">
        <v>45089686</v>
      </c>
      <c r="E70" s="15" t="s">
        <v>132</v>
      </c>
      <c r="F70" s="103">
        <v>99279</v>
      </c>
      <c r="G70" s="15" t="s">
        <v>133</v>
      </c>
      <c r="H70" s="106">
        <v>34</v>
      </c>
      <c r="I70">
        <v>27</v>
      </c>
      <c r="J70">
        <v>13</v>
      </c>
      <c r="K70" s="9">
        <v>48</v>
      </c>
    </row>
    <row r="71" spans="1:11" x14ac:dyDescent="0.25">
      <c r="A71" s="14">
        <v>70</v>
      </c>
      <c r="B71" s="2">
        <f t="shared" si="1"/>
        <v>459</v>
      </c>
      <c r="C71" s="11" t="s">
        <v>97</v>
      </c>
      <c r="D71" s="105">
        <v>5867463</v>
      </c>
      <c r="E71" s="15" t="s">
        <v>134</v>
      </c>
      <c r="F71" s="103">
        <v>49014294</v>
      </c>
      <c r="G71" s="15" t="s">
        <v>135</v>
      </c>
      <c r="H71" s="106">
        <v>27</v>
      </c>
      <c r="I71">
        <v>21</v>
      </c>
      <c r="J71">
        <v>10</v>
      </c>
      <c r="K71" s="9">
        <v>28</v>
      </c>
    </row>
    <row r="72" spans="1:11" x14ac:dyDescent="0.25">
      <c r="A72" s="14">
        <v>71</v>
      </c>
      <c r="B72" s="2">
        <f t="shared" si="1"/>
        <v>460</v>
      </c>
      <c r="C72" s="11" t="s">
        <v>42</v>
      </c>
      <c r="D72" s="105">
        <v>77270824</v>
      </c>
      <c r="E72" s="15" t="s">
        <v>136</v>
      </c>
      <c r="F72" s="103">
        <v>44343423</v>
      </c>
      <c r="G72" s="15" t="s">
        <v>137</v>
      </c>
      <c r="H72" s="106">
        <v>23</v>
      </c>
      <c r="I72">
        <v>18</v>
      </c>
      <c r="J72">
        <v>9</v>
      </c>
      <c r="K72" s="9">
        <v>16</v>
      </c>
    </row>
    <row r="73" spans="1:11" x14ac:dyDescent="0.25">
      <c r="A73" s="14">
        <v>72</v>
      </c>
      <c r="B73" s="2">
        <f t="shared" si="1"/>
        <v>461</v>
      </c>
      <c r="C73" s="11" t="s">
        <v>37</v>
      </c>
      <c r="D73" s="105">
        <v>77033183</v>
      </c>
      <c r="E73" s="15" t="s">
        <v>138</v>
      </c>
      <c r="F73" s="103">
        <v>77035243</v>
      </c>
      <c r="G73" s="15" t="s">
        <v>139</v>
      </c>
      <c r="H73" s="106">
        <v>58</v>
      </c>
      <c r="I73">
        <v>46</v>
      </c>
      <c r="J73">
        <v>23</v>
      </c>
      <c r="K73" s="9">
        <v>35</v>
      </c>
    </row>
    <row r="74" spans="1:11" x14ac:dyDescent="0.25">
      <c r="A74" s="14">
        <v>73</v>
      </c>
      <c r="B74" s="2">
        <f t="shared" si="1"/>
        <v>462</v>
      </c>
      <c r="C74" s="11" t="s">
        <v>39</v>
      </c>
      <c r="D74" s="105"/>
      <c r="E74" s="15"/>
      <c r="F74" s="103"/>
      <c r="G74" s="15"/>
      <c r="H74" s="106">
        <v>33</v>
      </c>
      <c r="I74">
        <v>26</v>
      </c>
      <c r="J74">
        <v>13</v>
      </c>
      <c r="K74" s="9">
        <v>18</v>
      </c>
    </row>
    <row r="75" spans="1:11" x14ac:dyDescent="0.25">
      <c r="A75" s="14">
        <v>74</v>
      </c>
      <c r="B75" s="2">
        <f t="shared" si="1"/>
        <v>463</v>
      </c>
      <c r="C75" s="11" t="s">
        <v>33</v>
      </c>
      <c r="D75" s="105">
        <v>48914996</v>
      </c>
      <c r="E75" s="15" t="s">
        <v>140</v>
      </c>
      <c r="F75" s="103">
        <v>63206385</v>
      </c>
      <c r="G75" s="15" t="s">
        <v>141</v>
      </c>
      <c r="H75" s="106">
        <v>55</v>
      </c>
      <c r="I75">
        <v>44</v>
      </c>
      <c r="J75">
        <v>22</v>
      </c>
      <c r="K75" s="9">
        <v>25</v>
      </c>
    </row>
    <row r="76" spans="1:11" x14ac:dyDescent="0.25">
      <c r="A76" s="14">
        <v>75</v>
      </c>
      <c r="B76" s="2">
        <f t="shared" si="1"/>
        <v>464</v>
      </c>
      <c r="C76" s="11" t="s">
        <v>35</v>
      </c>
      <c r="D76" s="105">
        <v>80659615</v>
      </c>
      <c r="E76" s="15" t="s">
        <v>142</v>
      </c>
      <c r="F76" s="103">
        <v>44331918</v>
      </c>
      <c r="G76" s="15" t="s">
        <v>143</v>
      </c>
      <c r="H76" s="106">
        <v>32</v>
      </c>
      <c r="I76">
        <v>25</v>
      </c>
      <c r="J76">
        <v>12</v>
      </c>
      <c r="K76" s="9">
        <v>59</v>
      </c>
    </row>
    <row r="77" spans="1:11" x14ac:dyDescent="0.25">
      <c r="A77" s="14">
        <v>76</v>
      </c>
      <c r="B77" s="2">
        <f t="shared" si="1"/>
        <v>465</v>
      </c>
      <c r="C77" s="11" t="s">
        <v>44</v>
      </c>
      <c r="D77" s="105">
        <v>48153224</v>
      </c>
      <c r="E77" s="15" t="s">
        <v>144</v>
      </c>
      <c r="F77" s="103">
        <v>41274687</v>
      </c>
      <c r="G77" s="15" t="s">
        <v>145</v>
      </c>
      <c r="H77" s="106">
        <v>31</v>
      </c>
      <c r="I77">
        <v>24</v>
      </c>
      <c r="J77">
        <v>12</v>
      </c>
      <c r="K77" s="9">
        <v>36</v>
      </c>
    </row>
    <row r="78" spans="1:11" x14ac:dyDescent="0.25">
      <c r="A78" s="14">
        <v>77</v>
      </c>
      <c r="B78" s="2">
        <f t="shared" si="1"/>
        <v>466</v>
      </c>
      <c r="C78" s="11" t="s">
        <v>82</v>
      </c>
      <c r="D78" s="105"/>
      <c r="E78" s="15"/>
      <c r="F78" s="103"/>
      <c r="G78" s="15"/>
      <c r="H78" s="106">
        <v>71</v>
      </c>
      <c r="I78">
        <v>56</v>
      </c>
      <c r="J78">
        <v>28</v>
      </c>
      <c r="K78" s="9">
        <v>67</v>
      </c>
    </row>
    <row r="79" spans="1:11" x14ac:dyDescent="0.25">
      <c r="A79" s="14">
        <v>78</v>
      </c>
      <c r="B79" s="2">
        <f t="shared" si="1"/>
        <v>467</v>
      </c>
      <c r="C79" s="11" t="s">
        <v>45</v>
      </c>
      <c r="D79" s="105">
        <v>48412630</v>
      </c>
      <c r="E79" s="15" t="s">
        <v>146</v>
      </c>
      <c r="F79" s="103">
        <v>48737027</v>
      </c>
      <c r="G79" s="15" t="s">
        <v>147</v>
      </c>
      <c r="H79" s="106">
        <v>29</v>
      </c>
      <c r="I79">
        <v>23</v>
      </c>
      <c r="J79">
        <v>11</v>
      </c>
      <c r="K79" s="9">
        <v>25</v>
      </c>
    </row>
    <row r="80" spans="1:11" x14ac:dyDescent="0.25">
      <c r="A80" s="14">
        <v>79</v>
      </c>
      <c r="B80" s="2">
        <f t="shared" si="1"/>
        <v>468</v>
      </c>
      <c r="C80" s="11" t="s">
        <v>41</v>
      </c>
      <c r="D80" s="105">
        <v>43254860</v>
      </c>
      <c r="E80" s="15" t="s">
        <v>148</v>
      </c>
      <c r="F80" s="103">
        <v>63268025</v>
      </c>
      <c r="G80" s="15" t="s">
        <v>149</v>
      </c>
      <c r="H80" s="106">
        <v>34</v>
      </c>
      <c r="I80">
        <v>27</v>
      </c>
      <c r="J80">
        <v>13</v>
      </c>
      <c r="K80" s="9">
        <v>21</v>
      </c>
    </row>
    <row r="81" spans="1:11" x14ac:dyDescent="0.25">
      <c r="A81" s="14">
        <v>80</v>
      </c>
      <c r="B81" s="2">
        <f t="shared" si="1"/>
        <v>469</v>
      </c>
      <c r="C81" s="11" t="s">
        <v>46</v>
      </c>
      <c r="D81" s="105">
        <v>42977041</v>
      </c>
      <c r="E81" s="15" t="s">
        <v>150</v>
      </c>
      <c r="F81" s="103">
        <v>80484565</v>
      </c>
      <c r="G81" s="15" t="s">
        <v>151</v>
      </c>
      <c r="H81" s="106">
        <v>47</v>
      </c>
      <c r="I81">
        <v>37</v>
      </c>
      <c r="J81">
        <v>18</v>
      </c>
      <c r="K81" s="9">
        <v>63</v>
      </c>
    </row>
    <row r="82" spans="1:11" x14ac:dyDescent="0.25">
      <c r="A82" s="14">
        <v>81</v>
      </c>
      <c r="B82" s="2">
        <f t="shared" si="1"/>
        <v>470</v>
      </c>
      <c r="C82" s="11" t="s">
        <v>47</v>
      </c>
      <c r="D82" s="105">
        <v>77032178</v>
      </c>
      <c r="E82" s="15" t="s">
        <v>152</v>
      </c>
      <c r="F82" s="103">
        <v>5925892</v>
      </c>
      <c r="G82" s="15" t="s">
        <v>153</v>
      </c>
      <c r="H82" s="106">
        <v>44</v>
      </c>
      <c r="I82">
        <v>35</v>
      </c>
      <c r="J82">
        <v>17</v>
      </c>
      <c r="K82" s="9">
        <v>33</v>
      </c>
    </row>
    <row r="83" spans="1:11" x14ac:dyDescent="0.25">
      <c r="A83" s="14">
        <v>82</v>
      </c>
      <c r="B83" s="2">
        <f t="shared" si="1"/>
        <v>471</v>
      </c>
      <c r="C83" s="11" t="s">
        <v>48</v>
      </c>
      <c r="D83" s="105"/>
      <c r="E83" s="15"/>
      <c r="F83" s="103"/>
      <c r="G83" s="15"/>
      <c r="H83" s="106">
        <v>24</v>
      </c>
      <c r="I83">
        <v>19</v>
      </c>
      <c r="J83">
        <v>9</v>
      </c>
      <c r="K83" s="9">
        <v>35</v>
      </c>
    </row>
    <row r="84" spans="1:11" x14ac:dyDescent="0.25">
      <c r="A84" s="14">
        <v>83</v>
      </c>
      <c r="B84" s="2">
        <f t="shared" si="1"/>
        <v>472</v>
      </c>
      <c r="C84" s="11" t="s">
        <v>49</v>
      </c>
      <c r="D84" s="105">
        <v>48819821</v>
      </c>
      <c r="E84" s="15" t="s">
        <v>154</v>
      </c>
      <c r="F84" s="103">
        <v>63032307</v>
      </c>
      <c r="G84" s="15" t="s">
        <v>155</v>
      </c>
      <c r="H84" s="106">
        <v>28</v>
      </c>
      <c r="I84">
        <v>22</v>
      </c>
      <c r="J84">
        <v>11</v>
      </c>
      <c r="K84" s="9">
        <v>40</v>
      </c>
    </row>
    <row r="85" spans="1:11" x14ac:dyDescent="0.25">
      <c r="A85" s="14">
        <v>84</v>
      </c>
      <c r="B85" s="2">
        <f t="shared" si="1"/>
        <v>473</v>
      </c>
      <c r="C85" s="11" t="s">
        <v>50</v>
      </c>
      <c r="D85" s="105">
        <v>43913389</v>
      </c>
      <c r="E85" s="15" t="s">
        <v>156</v>
      </c>
      <c r="F85" s="103">
        <v>46574596</v>
      </c>
      <c r="G85" s="15" t="s">
        <v>157</v>
      </c>
      <c r="H85" s="106">
        <v>64</v>
      </c>
      <c r="I85">
        <v>51</v>
      </c>
      <c r="J85">
        <v>25</v>
      </c>
      <c r="K85" s="9">
        <v>45</v>
      </c>
    </row>
    <row r="86" spans="1:11" x14ac:dyDescent="0.25">
      <c r="A86" s="14">
        <v>85</v>
      </c>
      <c r="B86" s="2">
        <f t="shared" si="1"/>
        <v>474</v>
      </c>
      <c r="C86" s="11" t="s">
        <v>51</v>
      </c>
      <c r="D86" s="105">
        <v>44067683</v>
      </c>
      <c r="E86" s="15" t="s">
        <v>158</v>
      </c>
      <c r="F86" s="103">
        <v>48361262</v>
      </c>
      <c r="G86" s="15" t="s">
        <v>159</v>
      </c>
      <c r="H86" s="106">
        <v>52</v>
      </c>
      <c r="I86">
        <v>41</v>
      </c>
      <c r="J86">
        <v>20</v>
      </c>
      <c r="K86" s="9">
        <v>23</v>
      </c>
    </row>
    <row r="87" spans="1:11" x14ac:dyDescent="0.25">
      <c r="A87" s="14">
        <v>86</v>
      </c>
      <c r="B87" s="2">
        <f t="shared" si="1"/>
        <v>475</v>
      </c>
      <c r="C87" s="11" t="s">
        <v>52</v>
      </c>
      <c r="D87" s="105"/>
      <c r="E87" s="15"/>
      <c r="F87" s="103"/>
      <c r="G87" s="15"/>
      <c r="H87" s="106">
        <v>59</v>
      </c>
      <c r="I87">
        <v>47</v>
      </c>
      <c r="J87">
        <v>23</v>
      </c>
      <c r="K87" s="9">
        <v>24</v>
      </c>
    </row>
    <row r="88" spans="1:11" x14ac:dyDescent="0.25">
      <c r="A88" s="14">
        <v>87</v>
      </c>
      <c r="B88" s="2">
        <f t="shared" si="1"/>
        <v>476</v>
      </c>
      <c r="C88" s="11" t="s">
        <v>53</v>
      </c>
      <c r="D88" s="105"/>
      <c r="E88" s="15"/>
      <c r="F88" s="103"/>
      <c r="G88" s="15"/>
      <c r="H88" s="106">
        <v>42</v>
      </c>
      <c r="I88">
        <v>33</v>
      </c>
      <c r="J88">
        <v>16</v>
      </c>
      <c r="K88" s="9">
        <v>53</v>
      </c>
    </row>
    <row r="89" spans="1:11" x14ac:dyDescent="0.25">
      <c r="A89" s="14">
        <v>88</v>
      </c>
      <c r="B89" s="2">
        <f t="shared" si="1"/>
        <v>477</v>
      </c>
      <c r="C89" s="11" t="s">
        <v>54</v>
      </c>
      <c r="D89" s="105">
        <v>76195828</v>
      </c>
      <c r="E89" s="15" t="s">
        <v>160</v>
      </c>
      <c r="F89" s="103">
        <v>77025147</v>
      </c>
      <c r="G89" s="15" t="s">
        <v>161</v>
      </c>
      <c r="H89" s="106">
        <v>49</v>
      </c>
      <c r="I89">
        <v>39</v>
      </c>
      <c r="J89">
        <v>19</v>
      </c>
      <c r="K89" s="9">
        <v>45</v>
      </c>
    </row>
    <row r="90" spans="1:11" x14ac:dyDescent="0.25">
      <c r="A90" s="14">
        <v>89</v>
      </c>
      <c r="B90" s="2">
        <f t="shared" si="1"/>
        <v>478</v>
      </c>
      <c r="C90" s="11" t="s">
        <v>55</v>
      </c>
      <c r="D90" s="105">
        <v>47365579</v>
      </c>
      <c r="E90" s="15" t="s">
        <v>162</v>
      </c>
      <c r="F90" s="103">
        <v>48706467</v>
      </c>
      <c r="G90" s="15" t="s">
        <v>163</v>
      </c>
      <c r="H90" s="106">
        <v>60</v>
      </c>
      <c r="I90">
        <v>48</v>
      </c>
      <c r="J90">
        <v>24</v>
      </c>
      <c r="K90" s="9">
        <v>55</v>
      </c>
    </row>
    <row r="91" spans="1:11" x14ac:dyDescent="0.25">
      <c r="A91" s="14">
        <v>90</v>
      </c>
      <c r="B91" s="2">
        <f t="shared" si="1"/>
        <v>479</v>
      </c>
      <c r="C91" s="11" t="s">
        <v>61</v>
      </c>
      <c r="D91" s="105">
        <v>48201673</v>
      </c>
      <c r="E91" s="15" t="s">
        <v>164</v>
      </c>
      <c r="F91" s="103">
        <v>45213390</v>
      </c>
      <c r="G91" s="15" t="s">
        <v>165</v>
      </c>
      <c r="H91" s="106">
        <v>21</v>
      </c>
      <c r="I91">
        <v>16</v>
      </c>
      <c r="J91">
        <v>8</v>
      </c>
      <c r="K91" s="9">
        <v>33</v>
      </c>
    </row>
    <row r="92" spans="1:11" x14ac:dyDescent="0.25">
      <c r="A92" s="14">
        <v>91</v>
      </c>
      <c r="B92" s="2">
        <f t="shared" si="1"/>
        <v>480</v>
      </c>
      <c r="C92" s="11" t="s">
        <v>56</v>
      </c>
      <c r="D92" s="105">
        <v>76202088</v>
      </c>
      <c r="E92" s="15" t="s">
        <v>166</v>
      </c>
      <c r="F92" s="103">
        <v>63398437</v>
      </c>
      <c r="G92" s="15" t="s">
        <v>167</v>
      </c>
      <c r="H92" s="106">
        <v>65</v>
      </c>
      <c r="I92">
        <v>52</v>
      </c>
      <c r="J92">
        <v>26</v>
      </c>
      <c r="K92" s="9">
        <v>40</v>
      </c>
    </row>
    <row r="93" spans="1:11" x14ac:dyDescent="0.25">
      <c r="A93" s="14">
        <v>92</v>
      </c>
      <c r="B93" s="2">
        <f t="shared" si="1"/>
        <v>481</v>
      </c>
      <c r="C93" s="11" t="s">
        <v>57</v>
      </c>
      <c r="D93" s="105"/>
      <c r="E93" s="15"/>
      <c r="F93" s="103"/>
      <c r="G93" s="15"/>
      <c r="H93" s="106">
        <v>72</v>
      </c>
      <c r="I93">
        <v>64</v>
      </c>
      <c r="J93">
        <v>32</v>
      </c>
      <c r="K93" s="9">
        <v>45</v>
      </c>
    </row>
    <row r="94" spans="1:11" x14ac:dyDescent="0.25">
      <c r="A94" s="14">
        <v>93</v>
      </c>
      <c r="B94" s="2">
        <f t="shared" si="1"/>
        <v>482</v>
      </c>
      <c r="C94" s="11" t="s">
        <v>58</v>
      </c>
      <c r="D94" s="105">
        <v>21141251</v>
      </c>
      <c r="E94" s="15" t="s">
        <v>168</v>
      </c>
      <c r="F94" s="103">
        <v>49061613</v>
      </c>
      <c r="G94" s="15" t="s">
        <v>169</v>
      </c>
      <c r="H94" s="106">
        <v>26</v>
      </c>
      <c r="I94">
        <v>20</v>
      </c>
      <c r="J94">
        <v>10</v>
      </c>
      <c r="K94" s="9">
        <v>23</v>
      </c>
    </row>
    <row r="95" spans="1:11" x14ac:dyDescent="0.25">
      <c r="A95" s="14">
        <v>94</v>
      </c>
      <c r="B95" s="2">
        <f t="shared" si="1"/>
        <v>483</v>
      </c>
      <c r="C95" s="11" t="s">
        <v>59</v>
      </c>
      <c r="D95" s="105">
        <v>77918327</v>
      </c>
      <c r="E95" s="15" t="s">
        <v>170</v>
      </c>
      <c r="F95" s="103">
        <v>5923454</v>
      </c>
      <c r="G95" s="15" t="s">
        <v>171</v>
      </c>
      <c r="H95" s="106">
        <v>33</v>
      </c>
      <c r="I95">
        <v>26</v>
      </c>
      <c r="J95">
        <v>13</v>
      </c>
      <c r="K95" s="9">
        <v>61</v>
      </c>
    </row>
    <row r="96" spans="1:11" x14ac:dyDescent="0.25">
      <c r="A96" s="14">
        <v>95</v>
      </c>
      <c r="B96" s="2">
        <f t="shared" si="1"/>
        <v>484</v>
      </c>
      <c r="C96" s="11" t="s">
        <v>60</v>
      </c>
      <c r="D96" s="105">
        <v>47733973</v>
      </c>
      <c r="E96" s="15" t="s">
        <v>172</v>
      </c>
      <c r="F96" s="103">
        <v>47752016</v>
      </c>
      <c r="G96" s="15" t="s">
        <v>173</v>
      </c>
      <c r="H96" s="106">
        <v>31</v>
      </c>
      <c r="I96">
        <v>24</v>
      </c>
      <c r="J96">
        <v>12</v>
      </c>
      <c r="K96" s="9">
        <v>76</v>
      </c>
    </row>
    <row r="97" spans="1:11" x14ac:dyDescent="0.25">
      <c r="A97" s="14">
        <v>96</v>
      </c>
      <c r="B97" s="2">
        <f t="shared" si="1"/>
        <v>485</v>
      </c>
      <c r="C97" s="11" t="s">
        <v>62</v>
      </c>
      <c r="D97" s="105">
        <v>45743959</v>
      </c>
      <c r="E97" s="15" t="s">
        <v>174</v>
      </c>
      <c r="F97" s="103">
        <v>41480997</v>
      </c>
      <c r="G97" s="15" t="s">
        <v>175</v>
      </c>
      <c r="H97" s="106">
        <v>53</v>
      </c>
      <c r="I97">
        <v>42</v>
      </c>
      <c r="J97">
        <v>21</v>
      </c>
      <c r="K97" s="9">
        <v>32</v>
      </c>
    </row>
    <row r="98" spans="1:11" x14ac:dyDescent="0.25">
      <c r="A98" s="14">
        <v>97</v>
      </c>
      <c r="B98" s="2">
        <f t="shared" si="1"/>
        <v>486</v>
      </c>
      <c r="C98" s="11" t="s">
        <v>83</v>
      </c>
      <c r="D98" s="105">
        <v>46903337</v>
      </c>
      <c r="E98" s="15" t="s">
        <v>176</v>
      </c>
      <c r="F98" s="103">
        <v>46903359</v>
      </c>
      <c r="G98" s="15" t="s">
        <v>177</v>
      </c>
      <c r="H98" s="106">
        <v>43</v>
      </c>
      <c r="I98">
        <v>34</v>
      </c>
      <c r="J98">
        <v>17</v>
      </c>
      <c r="K98" s="9">
        <v>20</v>
      </c>
    </row>
    <row r="99" spans="1:11" x14ac:dyDescent="0.25">
      <c r="A99" s="14">
        <v>98</v>
      </c>
      <c r="B99" s="2">
        <f t="shared" si="1"/>
        <v>487</v>
      </c>
      <c r="C99" s="11" t="s">
        <v>63</v>
      </c>
      <c r="D99" s="105">
        <v>45713906</v>
      </c>
      <c r="E99" s="15" t="s">
        <v>178</v>
      </c>
      <c r="F99" s="103">
        <v>48030820</v>
      </c>
      <c r="G99" s="15" t="s">
        <v>179</v>
      </c>
      <c r="H99" s="106">
        <v>189</v>
      </c>
      <c r="I99">
        <v>144</v>
      </c>
      <c r="J99">
        <v>65</v>
      </c>
      <c r="K99" s="9">
        <v>22</v>
      </c>
    </row>
    <row r="100" spans="1:11" x14ac:dyDescent="0.25">
      <c r="A100" s="14">
        <v>99</v>
      </c>
      <c r="B100" s="2">
        <f t="shared" si="1"/>
        <v>488</v>
      </c>
      <c r="C100" s="11" t="s">
        <v>64</v>
      </c>
      <c r="D100" s="105">
        <v>61951673</v>
      </c>
      <c r="E100" s="15" t="s">
        <v>180</v>
      </c>
      <c r="F100" s="103">
        <v>48489512</v>
      </c>
      <c r="G100" s="15" t="s">
        <v>181</v>
      </c>
      <c r="H100" s="106">
        <v>77</v>
      </c>
      <c r="I100">
        <v>61</v>
      </c>
      <c r="J100">
        <v>29</v>
      </c>
      <c r="K100" s="9">
        <v>56</v>
      </c>
    </row>
    <row r="101" spans="1:11" x14ac:dyDescent="0.25">
      <c r="A101" s="14">
        <v>100</v>
      </c>
      <c r="B101" s="2">
        <f t="shared" si="1"/>
        <v>489</v>
      </c>
      <c r="C101" s="11" t="s">
        <v>65</v>
      </c>
      <c r="D101" s="105">
        <v>629194</v>
      </c>
      <c r="E101" s="15" t="s">
        <v>182</v>
      </c>
      <c r="F101" s="103">
        <v>75279272</v>
      </c>
      <c r="G101" s="15" t="s">
        <v>183</v>
      </c>
      <c r="H101" s="106">
        <v>60</v>
      </c>
      <c r="I101">
        <v>48</v>
      </c>
      <c r="J101">
        <v>24</v>
      </c>
      <c r="K101" s="9">
        <v>46</v>
      </c>
    </row>
    <row r="102" spans="1:11" x14ac:dyDescent="0.25">
      <c r="A102" s="14">
        <v>101</v>
      </c>
      <c r="B102" s="2">
        <f t="shared" si="1"/>
        <v>490</v>
      </c>
      <c r="C102" s="11" t="s">
        <v>66</v>
      </c>
      <c r="D102" s="105">
        <v>47495472</v>
      </c>
      <c r="E102" s="15" t="s">
        <v>184</v>
      </c>
      <c r="F102" s="103">
        <v>46973092</v>
      </c>
      <c r="G102" s="15" t="s">
        <v>185</v>
      </c>
      <c r="H102" s="106">
        <v>56</v>
      </c>
      <c r="I102">
        <v>44</v>
      </c>
      <c r="J102">
        <v>21</v>
      </c>
      <c r="K102" s="9">
        <v>153</v>
      </c>
    </row>
    <row r="103" spans="1:11" x14ac:dyDescent="0.25">
      <c r="A103" s="14">
        <v>102</v>
      </c>
      <c r="B103" s="2">
        <f t="shared" si="1"/>
        <v>491</v>
      </c>
      <c r="C103" s="11" t="s">
        <v>67</v>
      </c>
      <c r="D103" s="105">
        <v>5923620</v>
      </c>
      <c r="E103" s="15" t="s">
        <v>186</v>
      </c>
      <c r="F103" s="103">
        <v>631705213</v>
      </c>
      <c r="G103" s="15" t="s">
        <v>187</v>
      </c>
      <c r="H103" s="106">
        <v>30</v>
      </c>
      <c r="I103">
        <v>24</v>
      </c>
      <c r="J103">
        <v>12</v>
      </c>
      <c r="K103" s="9">
        <v>52</v>
      </c>
    </row>
    <row r="104" spans="1:11" x14ac:dyDescent="0.25">
      <c r="A104" s="14">
        <v>103</v>
      </c>
      <c r="B104" s="2">
        <f t="shared" si="1"/>
        <v>492</v>
      </c>
      <c r="C104" s="11" t="s">
        <v>68</v>
      </c>
      <c r="D104" s="105">
        <v>46207178</v>
      </c>
      <c r="E104" s="15" t="s">
        <v>188</v>
      </c>
      <c r="F104" s="103">
        <v>63191841</v>
      </c>
      <c r="G104" s="15" t="s">
        <v>189</v>
      </c>
      <c r="H104" s="106">
        <v>91</v>
      </c>
      <c r="I104">
        <v>72</v>
      </c>
      <c r="J104">
        <v>36</v>
      </c>
      <c r="K104" s="9"/>
    </row>
    <row r="105" spans="1:11" x14ac:dyDescent="0.25">
      <c r="A105" s="14">
        <v>104</v>
      </c>
      <c r="B105" s="2">
        <f t="shared" si="1"/>
        <v>493</v>
      </c>
      <c r="C105" s="11" t="s">
        <v>271</v>
      </c>
      <c r="D105" s="105">
        <v>73959337</v>
      </c>
      <c r="E105" s="15" t="s">
        <v>194</v>
      </c>
      <c r="F105" s="103">
        <v>73959338</v>
      </c>
      <c r="G105" s="15" t="s">
        <v>195</v>
      </c>
      <c r="H105" s="106">
        <v>24</v>
      </c>
      <c r="I105">
        <v>18</v>
      </c>
      <c r="J105">
        <v>9</v>
      </c>
      <c r="K105" s="9">
        <v>42</v>
      </c>
    </row>
    <row r="106" spans="1:11" x14ac:dyDescent="0.25">
      <c r="A106" s="14">
        <v>105</v>
      </c>
      <c r="B106" s="2">
        <f t="shared" si="1"/>
        <v>494</v>
      </c>
      <c r="C106" s="11" t="s">
        <v>75</v>
      </c>
      <c r="D106" s="105">
        <v>5868246</v>
      </c>
      <c r="E106" s="15" t="s">
        <v>190</v>
      </c>
      <c r="F106" s="103">
        <v>63394014</v>
      </c>
      <c r="G106" s="15" t="s">
        <v>191</v>
      </c>
      <c r="H106" s="106">
        <v>16</v>
      </c>
      <c r="I106">
        <v>12</v>
      </c>
      <c r="J106">
        <v>6</v>
      </c>
      <c r="K106" s="9">
        <v>59</v>
      </c>
    </row>
    <row r="107" spans="1:11" x14ac:dyDescent="0.25">
      <c r="A107" s="14">
        <v>106</v>
      </c>
      <c r="B107" s="2">
        <f t="shared" si="1"/>
        <v>495</v>
      </c>
      <c r="C107" s="11" t="s">
        <v>96</v>
      </c>
      <c r="D107" s="105"/>
      <c r="E107" s="15"/>
      <c r="F107" s="103"/>
      <c r="G107" s="15"/>
      <c r="H107" s="106">
        <v>18</v>
      </c>
      <c r="I107">
        <v>14</v>
      </c>
      <c r="J107">
        <v>7</v>
      </c>
      <c r="K107" s="9">
        <v>26</v>
      </c>
    </row>
    <row r="108" spans="1:11" x14ac:dyDescent="0.25">
      <c r="A108" s="14">
        <v>107</v>
      </c>
      <c r="B108" s="2">
        <f t="shared" si="1"/>
        <v>496</v>
      </c>
      <c r="C108" s="11" t="s">
        <v>69</v>
      </c>
      <c r="D108" s="105"/>
      <c r="E108" s="15"/>
      <c r="F108" s="103"/>
      <c r="G108" s="15"/>
      <c r="H108" s="106">
        <v>15</v>
      </c>
      <c r="I108">
        <v>12</v>
      </c>
      <c r="J108">
        <v>6</v>
      </c>
      <c r="K108" s="9">
        <v>64</v>
      </c>
    </row>
    <row r="109" spans="1:11" x14ac:dyDescent="0.25">
      <c r="A109" s="14">
        <v>108</v>
      </c>
      <c r="B109" s="2">
        <f t="shared" si="1"/>
        <v>497</v>
      </c>
      <c r="C109" s="11" t="s">
        <v>70</v>
      </c>
      <c r="D109" s="105">
        <v>44864206</v>
      </c>
      <c r="E109" s="15" t="s">
        <v>192</v>
      </c>
      <c r="F109" s="103">
        <v>48927967</v>
      </c>
      <c r="G109" s="15" t="s">
        <v>193</v>
      </c>
      <c r="H109" s="106">
        <v>30</v>
      </c>
      <c r="I109">
        <v>24</v>
      </c>
      <c r="J109">
        <v>12</v>
      </c>
      <c r="K109" s="9">
        <v>19</v>
      </c>
    </row>
    <row r="110" spans="1:11" x14ac:dyDescent="0.25">
      <c r="A110" s="14">
        <v>109</v>
      </c>
      <c r="B110" s="2">
        <f t="shared" si="1"/>
        <v>498</v>
      </c>
      <c r="C110" s="11" t="s">
        <v>71</v>
      </c>
      <c r="D110" s="105"/>
      <c r="E110" s="15"/>
      <c r="F110" s="103"/>
      <c r="G110" s="15"/>
      <c r="H110" s="106">
        <v>178</v>
      </c>
      <c r="I110">
        <v>140</v>
      </c>
      <c r="J110">
        <v>69</v>
      </c>
      <c r="K110" s="9">
        <v>26</v>
      </c>
    </row>
    <row r="111" spans="1:11" x14ac:dyDescent="0.25">
      <c r="A111" s="14">
        <v>110</v>
      </c>
      <c r="B111" s="2">
        <f t="shared" si="1"/>
        <v>499</v>
      </c>
      <c r="C111" s="112" t="s">
        <v>276</v>
      </c>
      <c r="D111" s="105"/>
      <c r="E111" s="15"/>
      <c r="F111" s="103"/>
      <c r="G111" s="15"/>
      <c r="H111" s="106">
        <v>200</v>
      </c>
      <c r="I111">
        <v>160</v>
      </c>
      <c r="J111">
        <v>79</v>
      </c>
      <c r="K111" s="9">
        <v>22</v>
      </c>
    </row>
    <row r="112" spans="1:11" x14ac:dyDescent="0.25">
      <c r="A112" s="14">
        <v>111</v>
      </c>
      <c r="B112" s="2">
        <f t="shared" si="1"/>
        <v>500</v>
      </c>
      <c r="C112" s="11" t="s">
        <v>72</v>
      </c>
      <c r="D112" s="105">
        <v>75797455</v>
      </c>
      <c r="E112" s="15" t="s">
        <v>274</v>
      </c>
      <c r="F112" s="103">
        <v>5954952</v>
      </c>
      <c r="G112" s="15" t="s">
        <v>277</v>
      </c>
      <c r="H112" s="106">
        <v>105</v>
      </c>
      <c r="I112">
        <v>84</v>
      </c>
      <c r="J112">
        <v>41</v>
      </c>
      <c r="K112" s="9">
        <v>88</v>
      </c>
    </row>
    <row r="113" spans="1:11" x14ac:dyDescent="0.25">
      <c r="A113" s="14">
        <v>112</v>
      </c>
      <c r="B113" s="2">
        <f t="shared" si="1"/>
        <v>501</v>
      </c>
      <c r="C113" s="11" t="s">
        <v>73</v>
      </c>
      <c r="D113" s="105">
        <v>80903106</v>
      </c>
      <c r="E113" s="15" t="s">
        <v>272</v>
      </c>
      <c r="F113" s="103">
        <v>48661963</v>
      </c>
      <c r="G113" s="15" t="s">
        <v>273</v>
      </c>
      <c r="H113" s="106">
        <v>109</v>
      </c>
      <c r="I113">
        <v>87</v>
      </c>
      <c r="J113">
        <v>43</v>
      </c>
      <c r="K113" s="9">
        <v>170</v>
      </c>
    </row>
    <row r="114" spans="1:11" x14ac:dyDescent="0.25">
      <c r="A114" s="14">
        <v>113</v>
      </c>
      <c r="B114" s="2">
        <f t="shared" si="1"/>
        <v>502</v>
      </c>
      <c r="C114" s="114" t="s">
        <v>278</v>
      </c>
      <c r="D114" s="115"/>
      <c r="E114" s="112"/>
      <c r="F114" s="112"/>
      <c r="G114" s="112"/>
      <c r="H114" s="106">
        <v>19</v>
      </c>
      <c r="I114">
        <v>15</v>
      </c>
      <c r="J114">
        <v>7</v>
      </c>
      <c r="K114" s="9">
        <v>88</v>
      </c>
    </row>
    <row r="115" spans="1:11" x14ac:dyDescent="0.25">
      <c r="A115" s="14">
        <v>114</v>
      </c>
      <c r="B115" s="2">
        <f t="shared" si="1"/>
        <v>503</v>
      </c>
      <c r="C115" s="11" t="s">
        <v>74</v>
      </c>
      <c r="D115" s="105">
        <v>62176195</v>
      </c>
      <c r="E115" s="15" t="s">
        <v>196</v>
      </c>
      <c r="F115" s="103">
        <v>5954439</v>
      </c>
      <c r="G115" s="15" t="s">
        <v>197</v>
      </c>
      <c r="H115" s="106">
        <v>27</v>
      </c>
      <c r="I115">
        <v>21</v>
      </c>
      <c r="J115">
        <v>10</v>
      </c>
      <c r="K115" s="9">
        <v>34</v>
      </c>
    </row>
    <row r="116" spans="1:11" x14ac:dyDescent="0.25">
      <c r="A116" s="14">
        <v>115</v>
      </c>
      <c r="B116" s="2">
        <f t="shared" si="1"/>
        <v>504</v>
      </c>
      <c r="C116" s="11" t="s">
        <v>76</v>
      </c>
      <c r="D116" s="105">
        <v>44823129</v>
      </c>
      <c r="E116" s="15" t="s">
        <v>198</v>
      </c>
      <c r="F116" s="103">
        <v>80575816</v>
      </c>
      <c r="G116" s="15" t="s">
        <v>199</v>
      </c>
      <c r="H116" s="106">
        <v>27</v>
      </c>
      <c r="I116">
        <v>21</v>
      </c>
      <c r="J116">
        <v>10</v>
      </c>
      <c r="K116" s="9">
        <v>27</v>
      </c>
    </row>
    <row r="117" spans="1:11" x14ac:dyDescent="0.25">
      <c r="A117" s="14">
        <v>116</v>
      </c>
      <c r="B117" s="2">
        <f t="shared" si="1"/>
        <v>505</v>
      </c>
      <c r="C117" s="11" t="s">
        <v>77</v>
      </c>
      <c r="D117" s="105"/>
      <c r="E117" s="15"/>
      <c r="F117" s="103"/>
      <c r="G117" s="15"/>
      <c r="H117" s="106">
        <v>110</v>
      </c>
      <c r="I117">
        <v>88</v>
      </c>
      <c r="J117">
        <v>43</v>
      </c>
      <c r="K117" s="9">
        <v>24</v>
      </c>
    </row>
    <row r="118" spans="1:11" x14ac:dyDescent="0.25">
      <c r="A118" s="14">
        <v>117</v>
      </c>
      <c r="B118" s="2">
        <f t="shared" si="1"/>
        <v>506</v>
      </c>
      <c r="C118" s="11" t="s">
        <v>78</v>
      </c>
      <c r="D118" s="105">
        <v>45045995</v>
      </c>
      <c r="E118" s="15" t="s">
        <v>200</v>
      </c>
      <c r="F118" s="103">
        <v>77055403</v>
      </c>
      <c r="G118" s="15" t="s">
        <v>201</v>
      </c>
      <c r="H118" s="106">
        <v>94</v>
      </c>
      <c r="I118">
        <v>75</v>
      </c>
      <c r="J118">
        <v>36</v>
      </c>
      <c r="K118" s="9">
        <v>142</v>
      </c>
    </row>
    <row r="119" spans="1:11" x14ac:dyDescent="0.25">
      <c r="A119" s="14">
        <v>118</v>
      </c>
      <c r="B119" s="2">
        <f t="shared" si="1"/>
        <v>507</v>
      </c>
      <c r="C119" s="11" t="s">
        <v>79</v>
      </c>
      <c r="D119" s="105">
        <v>62250647</v>
      </c>
      <c r="E119" s="15" t="s">
        <v>202</v>
      </c>
      <c r="F119" s="103">
        <v>63227418</v>
      </c>
      <c r="G119" s="15" t="s">
        <v>203</v>
      </c>
      <c r="H119" s="106">
        <v>86</v>
      </c>
      <c r="I119">
        <v>68</v>
      </c>
      <c r="J119">
        <v>33</v>
      </c>
      <c r="K119" s="9"/>
    </row>
    <row r="120" spans="1:11" x14ac:dyDescent="0.25">
      <c r="A120" s="14">
        <v>119</v>
      </c>
      <c r="B120" s="2">
        <f t="shared" si="1"/>
        <v>508</v>
      </c>
      <c r="C120" s="11" t="s">
        <v>80</v>
      </c>
      <c r="D120" s="105">
        <v>76942559</v>
      </c>
      <c r="E120" s="15" t="s">
        <v>204</v>
      </c>
      <c r="F120" s="103">
        <v>47368129</v>
      </c>
      <c r="G120" s="15" t="s">
        <v>205</v>
      </c>
      <c r="H120" s="107">
        <v>106</v>
      </c>
      <c r="I120">
        <v>84</v>
      </c>
      <c r="J120">
        <v>42</v>
      </c>
      <c r="K120" s="9"/>
    </row>
    <row r="121" spans="1:11" x14ac:dyDescent="0.25">
      <c r="A121" s="14">
        <v>120</v>
      </c>
      <c r="B121" s="2">
        <f t="shared" si="1"/>
        <v>509</v>
      </c>
      <c r="C121" s="11" t="s">
        <v>81</v>
      </c>
      <c r="D121" s="105">
        <v>48824223</v>
      </c>
      <c r="E121" s="15" t="s">
        <v>206</v>
      </c>
      <c r="F121" s="103">
        <v>47096551</v>
      </c>
      <c r="G121" s="15" t="s">
        <v>207</v>
      </c>
      <c r="H121" s="107">
        <v>53</v>
      </c>
      <c r="I121">
        <v>42</v>
      </c>
      <c r="J121">
        <v>21</v>
      </c>
      <c r="K121" s="9"/>
    </row>
    <row r="122" spans="1:11" x14ac:dyDescent="0.25">
      <c r="A122" s="14">
        <v>121</v>
      </c>
      <c r="B122" s="2">
        <f t="shared" si="1"/>
        <v>510</v>
      </c>
      <c r="C122" s="114" t="s">
        <v>279</v>
      </c>
      <c r="D122" s="105"/>
      <c r="E122" s="15"/>
      <c r="F122" s="103"/>
      <c r="G122" s="15"/>
      <c r="H122" s="107">
        <v>34</v>
      </c>
      <c r="I122">
        <v>27</v>
      </c>
      <c r="J122">
        <v>13</v>
      </c>
      <c r="K122" s="9"/>
    </row>
    <row r="123" spans="1:11" x14ac:dyDescent="0.25">
      <c r="A123" s="14">
        <v>122</v>
      </c>
      <c r="B123" s="2">
        <f t="shared" si="1"/>
        <v>511</v>
      </c>
      <c r="C123" s="11" t="s">
        <v>213</v>
      </c>
      <c r="D123" s="105">
        <v>48177640</v>
      </c>
      <c r="E123" s="15" t="s">
        <v>214</v>
      </c>
      <c r="F123" s="103">
        <v>62096471</v>
      </c>
      <c r="G123" s="15" t="s">
        <v>215</v>
      </c>
      <c r="H123" s="107">
        <v>46</v>
      </c>
      <c r="I123">
        <v>36</v>
      </c>
      <c r="J123">
        <v>18</v>
      </c>
      <c r="K123" s="9"/>
    </row>
    <row r="124" spans="1:11" x14ac:dyDescent="0.25">
      <c r="A124" s="14">
        <v>123</v>
      </c>
      <c r="B124" s="2">
        <f t="shared" si="1"/>
        <v>512</v>
      </c>
      <c r="C124" s="114" t="s">
        <v>280</v>
      </c>
      <c r="D124" s="115"/>
      <c r="E124" s="112"/>
      <c r="F124" s="115"/>
      <c r="G124" s="112"/>
      <c r="H124" s="107">
        <v>29</v>
      </c>
      <c r="I124">
        <v>23</v>
      </c>
      <c r="J124">
        <v>11</v>
      </c>
      <c r="K124" s="9"/>
    </row>
    <row r="125" spans="1:11" x14ac:dyDescent="0.25">
      <c r="A125" s="14">
        <v>124</v>
      </c>
      <c r="B125" s="2">
        <f t="shared" si="1"/>
        <v>513</v>
      </c>
      <c r="C125" s="114" t="s">
        <v>281</v>
      </c>
      <c r="D125" s="115"/>
      <c r="E125" s="112"/>
      <c r="F125" s="115"/>
      <c r="G125" s="112"/>
      <c r="H125" s="107">
        <v>62</v>
      </c>
      <c r="I125">
        <v>49</v>
      </c>
      <c r="J125">
        <v>24</v>
      </c>
      <c r="K125" s="9"/>
    </row>
    <row r="126" spans="1:11" x14ac:dyDescent="0.25">
      <c r="A126" s="14">
        <v>125</v>
      </c>
      <c r="B126" s="2">
        <f t="shared" si="1"/>
        <v>514</v>
      </c>
      <c r="C126" s="114" t="s">
        <v>282</v>
      </c>
      <c r="D126" s="115"/>
      <c r="E126" s="112"/>
      <c r="F126" s="115"/>
      <c r="G126" s="112"/>
      <c r="H126" s="107">
        <v>28</v>
      </c>
      <c r="I126">
        <v>22</v>
      </c>
      <c r="J126">
        <v>11</v>
      </c>
      <c r="K126" s="9"/>
    </row>
    <row r="127" spans="1:11" x14ac:dyDescent="0.25">
      <c r="A127" s="14">
        <v>126</v>
      </c>
      <c r="B127" s="2">
        <f t="shared" si="1"/>
        <v>515</v>
      </c>
      <c r="C127" s="114" t="s">
        <v>389</v>
      </c>
      <c r="D127" s="105">
        <v>80490261</v>
      </c>
      <c r="E127" s="15" t="s">
        <v>390</v>
      </c>
      <c r="F127" s="103">
        <v>44657285</v>
      </c>
      <c r="G127" s="15" t="s">
        <v>391</v>
      </c>
      <c r="H127" s="107">
        <v>28</v>
      </c>
      <c r="I127">
        <v>22</v>
      </c>
      <c r="J127">
        <v>11</v>
      </c>
      <c r="K127" s="9"/>
    </row>
    <row r="128" spans="1:11" x14ac:dyDescent="0.25">
      <c r="A128" s="116" t="s">
        <v>17</v>
      </c>
      <c r="B128" s="116"/>
      <c r="C128" s="116"/>
      <c r="D128" s="13"/>
      <c r="E128" s="12"/>
      <c r="F128" s="20"/>
      <c r="G128" s="1"/>
      <c r="H128" s="5">
        <f>SUM(H2:H126)</f>
        <v>6249</v>
      </c>
      <c r="I128" s="5">
        <f>SUM(I2:I127)</f>
        <v>5001</v>
      </c>
      <c r="J128" s="5">
        <f>SUM(J2:J127)</f>
        <v>2465</v>
      </c>
      <c r="K128" s="5">
        <f>SUM(K2:K119)</f>
        <v>5710</v>
      </c>
    </row>
    <row r="129" spans="9:11" x14ac:dyDescent="0.25">
      <c r="I129" s="7">
        <f>SUM(I2:I126)</f>
        <v>4979</v>
      </c>
      <c r="J129" s="8"/>
      <c r="K129" s="8"/>
    </row>
  </sheetData>
  <sheetProtection algorithmName="SHA-512" hashValue="UANH4QhKPjVbx5ZeLsfF4JkSkeenmLr+B9AJn+Q2q6qfh9aMY8V18jvwv6VRbg0+SOVEKNbR7/1nqwPVH1FU4A==" saltValue="MRGfQAQ6taYRrvkV5HlMrg==" spinCount="100000" sheet="1" objects="1" scenarios="1"/>
  <autoFilter ref="A1:K128" xr:uid="{956EF7D5-3AC8-45A5-A5A8-58AB736CFCCD}">
    <filterColumn colId="0" showButton="0"/>
    <sortState xmlns:xlrd2="http://schemas.microsoft.com/office/spreadsheetml/2017/richdata2" ref="A2:K130">
      <sortCondition ref="C1:C128"/>
    </sortState>
  </autoFilter>
  <mergeCells count="1">
    <mergeCell ref="A128:C128"/>
  </mergeCells>
  <conditionalFormatting sqref="A2:J60 I61:J123 C61:G123 H61:H126 K2:K127 A61:B127">
    <cfRule type="expression" dxfId="2" priority="13">
      <formula>ROW()=CELL("fila")</formula>
    </cfRule>
  </conditionalFormatting>
  <conditionalFormatting sqref="D127:G127">
    <cfRule type="expression" dxfId="1" priority="2">
      <formula>ROW()=CELL("fila")</formula>
    </cfRule>
  </conditionalFormatting>
  <conditionalFormatting sqref="H127">
    <cfRule type="expression" dxfId="0" priority="1">
      <formula>ROW()=CELL("fila")</formula>
    </cfRule>
  </conditionalFormatting>
  <pageMargins left="0.52" right="0.34" top="0.57999999999999996" bottom="0.13" header="0.3" footer="0.3"/>
  <pageSetup orientation="portrait" horizontalDpi="4294967293" r:id="rId1"/>
  <headerFooter>
    <oddHeader>&amp;C&amp;"-,Negrita"COMITES 2025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32DDB-4B34-443C-840A-3C1817A01E73}">
  <sheetPr codeName="Hoja2"/>
  <dimension ref="A1:S39"/>
  <sheetViews>
    <sheetView showGridLines="0" view="pageBreakPreview" topLeftCell="A4" zoomScaleNormal="100" zoomScaleSheetLayoutView="100" zoomScalePageLayoutView="70" workbookViewId="0">
      <selection activeCell="J18" sqref="J18:K18"/>
    </sheetView>
  </sheetViews>
  <sheetFormatPr baseColWidth="10" defaultRowHeight="15" x14ac:dyDescent="0.25"/>
  <cols>
    <col min="1" max="1" width="4.85546875" customWidth="1"/>
    <col min="2" max="2" width="11.7109375" customWidth="1"/>
    <col min="3" max="3" width="8.140625" customWidth="1"/>
    <col min="4" max="4" width="6.7109375" customWidth="1"/>
    <col min="5" max="5" width="4.42578125" customWidth="1"/>
    <col min="6" max="6" width="20" customWidth="1"/>
    <col min="7" max="7" width="7.28515625" customWidth="1"/>
    <col min="8" max="8" width="3.85546875" customWidth="1"/>
    <col min="9" max="9" width="9.7109375" customWidth="1"/>
    <col min="10" max="10" width="1.5703125" customWidth="1"/>
    <col min="11" max="11" width="9.7109375" customWidth="1"/>
    <col min="12" max="12" width="7.5703125" customWidth="1"/>
    <col min="13" max="13" width="13.140625" customWidth="1"/>
    <col min="14" max="14" width="12.7109375" customWidth="1"/>
    <col min="15" max="15" width="2.5703125" customWidth="1"/>
    <col min="16" max="16" width="12.5703125" customWidth="1"/>
    <col min="17" max="17" width="6.85546875" customWidth="1"/>
    <col min="18" max="18" width="14.140625" customWidth="1"/>
    <col min="19" max="19" width="4.5703125" customWidth="1"/>
  </cols>
  <sheetData>
    <row r="1" spans="1:19" ht="21.75" thickBot="1" x14ac:dyDescent="0.4">
      <c r="A1" s="117"/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</row>
    <row r="2" spans="1:19" ht="17.25" customHeight="1" thickTop="1" x14ac:dyDescent="0.25">
      <c r="A2" s="21">
        <v>45</v>
      </c>
      <c r="B2" s="201" t="s">
        <v>107</v>
      </c>
      <c r="C2" s="202"/>
      <c r="D2" s="202"/>
      <c r="E2" s="202"/>
      <c r="F2" s="202"/>
      <c r="G2" s="202"/>
      <c r="H2" s="202"/>
      <c r="I2" s="203"/>
      <c r="J2" s="22"/>
      <c r="K2" s="23" t="s">
        <v>0</v>
      </c>
      <c r="L2" s="202" t="s">
        <v>2</v>
      </c>
      <c r="M2" s="202"/>
      <c r="N2" s="203"/>
      <c r="O2" s="22"/>
      <c r="P2" s="221" t="s">
        <v>28</v>
      </c>
      <c r="Q2" s="222"/>
      <c r="R2" s="225">
        <f ca="1">LOOKUP(A2,COMITES!A2:A133,COMITES!B2:B13)</f>
        <v>434</v>
      </c>
      <c r="S2" s="226"/>
    </row>
    <row r="3" spans="1:19" ht="15.75" thickBot="1" x14ac:dyDescent="0.3">
      <c r="A3" s="236" t="str">
        <f>LOOKUP(A2,COMITES!A2:A133,COMITES!C2:C133)</f>
        <v xml:space="preserve"> PARAISO</v>
      </c>
      <c r="B3" s="237"/>
      <c r="C3" s="237"/>
      <c r="D3" s="237"/>
      <c r="E3" s="237"/>
      <c r="F3" s="237"/>
      <c r="G3" s="237"/>
      <c r="H3" s="237"/>
      <c r="I3" s="238"/>
      <c r="J3" s="24"/>
      <c r="K3" s="25" t="s">
        <v>1</v>
      </c>
      <c r="L3" s="26"/>
      <c r="M3" s="27" t="s">
        <v>392</v>
      </c>
      <c r="N3" s="28">
        <v>2026</v>
      </c>
      <c r="O3" s="29"/>
      <c r="P3" s="223"/>
      <c r="Q3" s="224"/>
      <c r="R3" s="227"/>
      <c r="S3" s="228"/>
    </row>
    <row r="4" spans="1:19" ht="3" customHeight="1" thickTop="1" thickBot="1" x14ac:dyDescent="0.3">
      <c r="A4" s="30"/>
      <c r="B4" s="31"/>
      <c r="C4" s="31"/>
      <c r="D4" s="31"/>
      <c r="E4" s="31"/>
      <c r="F4" s="31"/>
      <c r="G4" s="31"/>
      <c r="H4" s="31"/>
      <c r="I4" s="31"/>
      <c r="J4" s="29"/>
      <c r="K4" s="29"/>
      <c r="L4" s="29"/>
      <c r="M4" s="29" t="s">
        <v>87</v>
      </c>
      <c r="N4" s="29"/>
      <c r="O4" s="29"/>
      <c r="P4" s="29"/>
      <c r="Q4" s="29"/>
      <c r="R4" s="29"/>
      <c r="S4" s="32"/>
    </row>
    <row r="5" spans="1:19" s="3" customFormat="1" ht="16.5" thickTop="1" thickBot="1" x14ac:dyDescent="0.3">
      <c r="A5" s="267" t="s">
        <v>6</v>
      </c>
      <c r="B5" s="268"/>
      <c r="C5" s="268"/>
      <c r="D5" s="263">
        <f>LOOKUP(A2,COMITES!A2:A133,COMITES!E2:E133)</f>
        <v>0</v>
      </c>
      <c r="E5" s="263"/>
      <c r="F5" s="263"/>
      <c r="G5" s="263"/>
      <c r="H5" s="263"/>
      <c r="I5" s="264"/>
      <c r="J5" s="33"/>
      <c r="K5" s="270" t="s">
        <v>3</v>
      </c>
      <c r="L5" s="245"/>
      <c r="M5" s="245"/>
      <c r="N5" s="246"/>
      <c r="O5" s="33"/>
      <c r="P5" s="215" t="s">
        <v>13</v>
      </c>
      <c r="Q5" s="216"/>
      <c r="R5" s="216" t="s">
        <v>93</v>
      </c>
      <c r="S5" s="219"/>
    </row>
    <row r="6" spans="1:19" ht="27" customHeight="1" thickTop="1" thickBot="1" x14ac:dyDescent="0.3">
      <c r="A6" s="267" t="s">
        <v>7</v>
      </c>
      <c r="B6" s="268"/>
      <c r="C6" s="268"/>
      <c r="D6" s="269" t="str">
        <f>A3</f>
        <v xml:space="preserve"> PARAISO</v>
      </c>
      <c r="E6" s="269"/>
      <c r="F6" s="269"/>
      <c r="G6" s="269"/>
      <c r="H6" s="265" t="s">
        <v>95</v>
      </c>
      <c r="I6" s="266"/>
      <c r="J6" s="24"/>
      <c r="K6" s="271" t="s">
        <v>103</v>
      </c>
      <c r="L6" s="272"/>
      <c r="M6" s="34" t="s">
        <v>4</v>
      </c>
      <c r="N6" s="35" t="s">
        <v>105</v>
      </c>
      <c r="O6" s="36"/>
      <c r="P6" s="217" t="s">
        <v>14</v>
      </c>
      <c r="Q6" s="218"/>
      <c r="R6" s="218"/>
      <c r="S6" s="220"/>
    </row>
    <row r="7" spans="1:19" ht="14.25" customHeight="1" thickTop="1" thickBot="1" x14ac:dyDescent="0.3">
      <c r="A7" s="239"/>
      <c r="B7" s="240"/>
      <c r="C7" s="240"/>
      <c r="D7" s="240"/>
      <c r="E7" s="240"/>
      <c r="F7" s="240"/>
      <c r="G7" s="240"/>
      <c r="H7" s="241"/>
      <c r="I7" s="240"/>
      <c r="J7" s="24"/>
      <c r="K7" s="230" t="s">
        <v>104</v>
      </c>
      <c r="L7" s="231"/>
      <c r="M7" s="37" t="s">
        <v>5</v>
      </c>
      <c r="N7" s="38">
        <v>66</v>
      </c>
      <c r="O7" s="29"/>
      <c r="P7" s="29"/>
      <c r="Q7" s="29"/>
      <c r="R7" s="29"/>
      <c r="S7" s="32"/>
    </row>
    <row r="8" spans="1:19" ht="15.75" thickTop="1" x14ac:dyDescent="0.25">
      <c r="A8" s="242" t="s">
        <v>8</v>
      </c>
      <c r="B8" s="245" t="s">
        <v>9</v>
      </c>
      <c r="C8" s="245"/>
      <c r="D8" s="245"/>
      <c r="E8" s="245"/>
      <c r="F8" s="245"/>
      <c r="G8" s="246"/>
      <c r="H8" s="29"/>
      <c r="I8" s="252" t="s">
        <v>15</v>
      </c>
      <c r="J8" s="202"/>
      <c r="K8" s="202"/>
      <c r="L8" s="202"/>
      <c r="M8" s="202"/>
      <c r="N8" s="253"/>
      <c r="O8" s="201" t="s">
        <v>16</v>
      </c>
      <c r="P8" s="202"/>
      <c r="Q8" s="202"/>
      <c r="R8" s="202"/>
      <c r="S8" s="203"/>
    </row>
    <row r="9" spans="1:19" s="3" customFormat="1" ht="19.5" customHeight="1" x14ac:dyDescent="0.25">
      <c r="A9" s="243"/>
      <c r="B9" s="247" t="s">
        <v>11</v>
      </c>
      <c r="C9" s="247"/>
      <c r="D9" s="247"/>
      <c r="E9" s="247"/>
      <c r="F9" s="247"/>
      <c r="G9" s="248"/>
      <c r="H9" s="31"/>
      <c r="I9" s="254" t="s">
        <v>18</v>
      </c>
      <c r="J9" s="255"/>
      <c r="K9" s="256"/>
      <c r="L9" s="257" t="s">
        <v>21</v>
      </c>
      <c r="M9" s="257" t="s">
        <v>22</v>
      </c>
      <c r="N9" s="259" t="s">
        <v>108</v>
      </c>
      <c r="O9" s="204" t="s">
        <v>109</v>
      </c>
      <c r="P9" s="205"/>
      <c r="Q9" s="206"/>
      <c r="R9" s="204" t="s">
        <v>110</v>
      </c>
      <c r="S9" s="210"/>
    </row>
    <row r="10" spans="1:19" ht="17.25" customHeight="1" thickBot="1" x14ac:dyDescent="0.3">
      <c r="A10" s="244"/>
      <c r="B10" s="39" t="s">
        <v>113</v>
      </c>
      <c r="C10" s="40" t="s">
        <v>111</v>
      </c>
      <c r="D10" s="40" t="s">
        <v>112</v>
      </c>
      <c r="E10" s="249" t="s">
        <v>10</v>
      </c>
      <c r="F10" s="250"/>
      <c r="G10" s="251"/>
      <c r="H10" s="29"/>
      <c r="I10" s="41" t="s">
        <v>19</v>
      </c>
      <c r="J10" s="261" t="s">
        <v>20</v>
      </c>
      <c r="K10" s="262"/>
      <c r="L10" s="258"/>
      <c r="M10" s="258"/>
      <c r="N10" s="260"/>
      <c r="O10" s="207"/>
      <c r="P10" s="208"/>
      <c r="Q10" s="209"/>
      <c r="R10" s="207"/>
      <c r="S10" s="211"/>
    </row>
    <row r="11" spans="1:19" ht="15.75" thickTop="1" x14ac:dyDescent="0.25">
      <c r="A11" s="42">
        <v>1</v>
      </c>
      <c r="B11" s="43">
        <v>1</v>
      </c>
      <c r="C11" s="44">
        <f>LOOKUP(A2,COMITES!A2:A133,COMITES!I2:I133)</f>
        <v>44</v>
      </c>
      <c r="D11" s="45" t="s">
        <v>24</v>
      </c>
      <c r="E11" s="118" t="s">
        <v>12</v>
      </c>
      <c r="F11" s="119"/>
      <c r="G11" s="120"/>
      <c r="H11" s="46"/>
      <c r="I11" s="47" t="s">
        <v>23</v>
      </c>
      <c r="J11" s="234"/>
      <c r="K11" s="235"/>
      <c r="L11" s="48"/>
      <c r="M11" s="49">
        <f>C11</f>
        <v>44</v>
      </c>
      <c r="N11" s="45" t="s">
        <v>24</v>
      </c>
      <c r="O11" s="189">
        <v>4.7</v>
      </c>
      <c r="P11" s="190"/>
      <c r="Q11" s="191"/>
      <c r="R11" s="154">
        <f>M11*O11</f>
        <v>206.8</v>
      </c>
      <c r="S11" s="155"/>
    </row>
    <row r="12" spans="1:19" x14ac:dyDescent="0.25">
      <c r="A12" s="50">
        <v>2</v>
      </c>
      <c r="B12" s="51">
        <v>2</v>
      </c>
      <c r="C12" s="52">
        <f>LOOKUP(A2,COMITES!A2:A133,COMITES!J2:J133)</f>
        <v>22</v>
      </c>
      <c r="D12" s="53" t="s">
        <v>25</v>
      </c>
      <c r="E12" s="121" t="s">
        <v>208</v>
      </c>
      <c r="F12" s="122"/>
      <c r="G12" s="123"/>
      <c r="H12" s="46"/>
      <c r="I12" s="54" t="s">
        <v>102</v>
      </c>
      <c r="J12" s="148"/>
      <c r="K12" s="149"/>
      <c r="L12" s="55"/>
      <c r="M12" s="56">
        <f>C12</f>
        <v>22</v>
      </c>
      <c r="N12" s="53" t="s">
        <v>25</v>
      </c>
      <c r="O12" s="192">
        <v>7.1</v>
      </c>
      <c r="P12" s="193"/>
      <c r="Q12" s="194"/>
      <c r="R12" s="156">
        <f>M12*O12</f>
        <v>156.19999999999999</v>
      </c>
      <c r="S12" s="157"/>
    </row>
    <row r="13" spans="1:19" x14ac:dyDescent="0.25">
      <c r="A13" s="50">
        <v>3</v>
      </c>
      <c r="B13" s="57"/>
      <c r="C13" s="58"/>
      <c r="D13" s="57"/>
      <c r="E13" s="124" t="s">
        <v>209</v>
      </c>
      <c r="F13" s="125"/>
      <c r="G13" s="126"/>
      <c r="H13" s="46"/>
      <c r="I13" s="59"/>
      <c r="J13" s="130"/>
      <c r="K13" s="145"/>
      <c r="L13" s="55"/>
      <c r="M13" s="57"/>
      <c r="N13" s="57"/>
      <c r="O13" s="192"/>
      <c r="P13" s="193"/>
      <c r="Q13" s="194"/>
      <c r="R13" s="130"/>
      <c r="S13" s="132"/>
    </row>
    <row r="14" spans="1:19" x14ac:dyDescent="0.25">
      <c r="A14" s="50">
        <v>4</v>
      </c>
      <c r="B14" s="60"/>
      <c r="C14" s="61"/>
      <c r="D14" s="60"/>
      <c r="E14" s="127" t="s">
        <v>210</v>
      </c>
      <c r="F14" s="128"/>
      <c r="G14" s="129"/>
      <c r="H14" s="46"/>
      <c r="I14" s="62"/>
      <c r="J14" s="146"/>
      <c r="K14" s="147"/>
      <c r="L14" s="63"/>
      <c r="M14" s="60"/>
      <c r="N14" s="60"/>
      <c r="O14" s="212"/>
      <c r="P14" s="213"/>
      <c r="Q14" s="214"/>
      <c r="R14" s="146"/>
      <c r="S14" s="158"/>
    </row>
    <row r="15" spans="1:19" x14ac:dyDescent="0.25">
      <c r="A15" s="50">
        <v>5</v>
      </c>
      <c r="B15" s="57"/>
      <c r="C15" s="57"/>
      <c r="D15" s="57"/>
      <c r="E15" s="164" t="s">
        <v>211</v>
      </c>
      <c r="F15" s="165"/>
      <c r="G15" s="166"/>
      <c r="H15" s="64"/>
      <c r="I15" s="59"/>
      <c r="J15" s="159"/>
      <c r="K15" s="159"/>
      <c r="L15" s="65"/>
      <c r="M15" s="57"/>
      <c r="N15" s="57"/>
      <c r="O15" s="180"/>
      <c r="P15" s="180"/>
      <c r="Q15" s="180"/>
      <c r="R15" s="159"/>
      <c r="S15" s="160"/>
    </row>
    <row r="16" spans="1:19" s="3" customFormat="1" ht="15.75" x14ac:dyDescent="0.25">
      <c r="A16" s="50">
        <v>6</v>
      </c>
      <c r="B16" s="58"/>
      <c r="C16" s="58"/>
      <c r="D16" s="58"/>
      <c r="E16" s="167">
        <v>46113</v>
      </c>
      <c r="F16" s="168"/>
      <c r="G16" s="169"/>
      <c r="H16" s="66"/>
      <c r="I16" s="67"/>
      <c r="J16" s="183"/>
      <c r="K16" s="183"/>
      <c r="L16" s="68"/>
      <c r="M16" s="58"/>
      <c r="N16" s="58"/>
      <c r="O16" s="181"/>
      <c r="P16" s="181"/>
      <c r="Q16" s="181"/>
      <c r="R16" s="183"/>
      <c r="S16" s="184"/>
    </row>
    <row r="17" spans="1:19" x14ac:dyDescent="0.25">
      <c r="A17" s="50">
        <v>7</v>
      </c>
      <c r="B17" s="57"/>
      <c r="C17" s="57"/>
      <c r="D17" s="57"/>
      <c r="E17" s="159"/>
      <c r="F17" s="159"/>
      <c r="G17" s="160"/>
      <c r="H17" s="64"/>
      <c r="I17" s="59"/>
      <c r="J17" s="159"/>
      <c r="K17" s="159"/>
      <c r="L17" s="65"/>
      <c r="M17" s="57"/>
      <c r="N17" s="57"/>
      <c r="O17" s="180"/>
      <c r="P17" s="180"/>
      <c r="Q17" s="180"/>
      <c r="R17" s="159"/>
      <c r="S17" s="160"/>
    </row>
    <row r="18" spans="1:19" x14ac:dyDescent="0.25">
      <c r="A18" s="50">
        <v>8</v>
      </c>
      <c r="B18" s="57"/>
      <c r="C18" s="57"/>
      <c r="D18" s="57"/>
      <c r="E18" s="159"/>
      <c r="F18" s="159"/>
      <c r="G18" s="160"/>
      <c r="H18" s="64"/>
      <c r="I18" s="59"/>
      <c r="J18" s="159"/>
      <c r="K18" s="159"/>
      <c r="L18" s="65"/>
      <c r="M18" s="57"/>
      <c r="N18" s="57"/>
      <c r="O18" s="180"/>
      <c r="P18" s="180"/>
      <c r="Q18" s="180"/>
      <c r="R18" s="159"/>
      <c r="S18" s="160"/>
    </row>
    <row r="19" spans="1:19" s="3" customFormat="1" x14ac:dyDescent="0.25">
      <c r="A19" s="50">
        <v>9</v>
      </c>
      <c r="B19" s="69"/>
      <c r="C19" s="69"/>
      <c r="D19" s="69"/>
      <c r="E19" s="170"/>
      <c r="F19" s="171"/>
      <c r="G19" s="172"/>
      <c r="H19" s="70"/>
      <c r="I19" s="71"/>
      <c r="J19" s="170"/>
      <c r="K19" s="233"/>
      <c r="L19" s="72"/>
      <c r="M19" s="69"/>
      <c r="N19" s="69"/>
      <c r="O19" s="195"/>
      <c r="P19" s="196"/>
      <c r="Q19" s="197"/>
      <c r="R19" s="170"/>
      <c r="S19" s="172"/>
    </row>
    <row r="20" spans="1:19" x14ac:dyDescent="0.25">
      <c r="A20" s="50">
        <v>10</v>
      </c>
      <c r="B20" s="57"/>
      <c r="C20" s="57"/>
      <c r="D20" s="57"/>
      <c r="E20" s="130"/>
      <c r="F20" s="131"/>
      <c r="G20" s="132"/>
      <c r="H20" s="46"/>
      <c r="I20" s="59"/>
      <c r="J20" s="130"/>
      <c r="K20" s="145"/>
      <c r="L20" s="55"/>
      <c r="M20" s="57"/>
      <c r="N20" s="57"/>
      <c r="O20" s="192"/>
      <c r="P20" s="193"/>
      <c r="Q20" s="194"/>
      <c r="R20" s="130"/>
      <c r="S20" s="132"/>
    </row>
    <row r="21" spans="1:19" s="3" customFormat="1" x14ac:dyDescent="0.25">
      <c r="A21" s="50">
        <v>11</v>
      </c>
      <c r="B21" s="58"/>
      <c r="C21" s="58"/>
      <c r="D21" s="58"/>
      <c r="E21" s="133"/>
      <c r="F21" s="134"/>
      <c r="G21" s="135"/>
      <c r="H21" s="70"/>
      <c r="I21" s="67"/>
      <c r="J21" s="133"/>
      <c r="K21" s="232"/>
      <c r="L21" s="73"/>
      <c r="M21" s="58"/>
      <c r="N21" s="58"/>
      <c r="O21" s="198"/>
      <c r="P21" s="199"/>
      <c r="Q21" s="200"/>
      <c r="R21" s="133"/>
      <c r="S21" s="135"/>
    </row>
    <row r="22" spans="1:19" ht="15.75" thickBot="1" x14ac:dyDescent="0.3">
      <c r="A22" s="50">
        <v>12</v>
      </c>
      <c r="B22" s="74"/>
      <c r="C22" s="74"/>
      <c r="D22" s="74"/>
      <c r="E22" s="136"/>
      <c r="F22" s="137"/>
      <c r="G22" s="138"/>
      <c r="H22" s="46"/>
      <c r="I22" s="75"/>
      <c r="J22" s="136"/>
      <c r="K22" s="182"/>
      <c r="L22" s="76"/>
      <c r="M22" s="74"/>
      <c r="N22" s="74"/>
      <c r="O22" s="185"/>
      <c r="P22" s="186"/>
      <c r="Q22" s="187"/>
      <c r="R22" s="136"/>
      <c r="S22" s="138"/>
    </row>
    <row r="23" spans="1:19" ht="17.25" customHeight="1" thickTop="1" x14ac:dyDescent="0.25">
      <c r="A23" s="77"/>
      <c r="B23" s="46"/>
      <c r="C23" s="46"/>
      <c r="D23" s="46"/>
      <c r="E23" s="46"/>
      <c r="F23" s="46"/>
      <c r="G23" s="46"/>
      <c r="H23" s="78"/>
      <c r="I23" s="46"/>
      <c r="J23" s="152"/>
      <c r="K23" s="152"/>
      <c r="L23" s="46"/>
      <c r="M23" s="46"/>
      <c r="N23" s="46"/>
      <c r="O23" s="188" t="s">
        <v>17</v>
      </c>
      <c r="P23" s="188"/>
      <c r="Q23" s="188"/>
      <c r="R23" s="150">
        <f>SUM(R11:S22)</f>
        <v>363</v>
      </c>
      <c r="S23" s="151"/>
    </row>
    <row r="24" spans="1:19" ht="20.25" customHeight="1" x14ac:dyDescent="0.25">
      <c r="A24" s="77"/>
      <c r="B24" s="81"/>
      <c r="C24" s="141" t="s">
        <v>106</v>
      </c>
      <c r="D24" s="142"/>
      <c r="E24" s="82"/>
      <c r="F24" s="82"/>
      <c r="G24" s="46"/>
      <c r="H24" s="177"/>
      <c r="I24" s="177"/>
      <c r="J24" s="152"/>
      <c r="K24" s="152"/>
      <c r="L24" s="83"/>
      <c r="M24" s="84"/>
      <c r="N24" s="85"/>
      <c r="O24" s="188"/>
      <c r="P24" s="188"/>
      <c r="Q24" s="188"/>
      <c r="R24" s="152"/>
      <c r="S24" s="153"/>
    </row>
    <row r="25" spans="1:19" ht="3.75" customHeight="1" x14ac:dyDescent="0.25">
      <c r="A25" s="77"/>
      <c r="B25" s="46"/>
      <c r="C25" s="82"/>
      <c r="D25" s="82"/>
      <c r="E25" s="82"/>
      <c r="F25" s="82"/>
      <c r="G25" s="46"/>
      <c r="H25" s="46"/>
      <c r="I25" s="46"/>
      <c r="J25" s="79"/>
      <c r="K25" s="79"/>
      <c r="L25" s="46"/>
      <c r="M25" s="83"/>
      <c r="N25" s="46"/>
      <c r="O25" s="80"/>
      <c r="P25" s="80"/>
      <c r="Q25" s="80"/>
      <c r="R25" s="79"/>
      <c r="S25" s="86"/>
    </row>
    <row r="26" spans="1:19" ht="18" customHeight="1" x14ac:dyDescent="0.25">
      <c r="A26" s="77"/>
      <c r="B26" s="57"/>
      <c r="C26" s="143" t="s">
        <v>26</v>
      </c>
      <c r="D26" s="144"/>
      <c r="E26" s="87"/>
      <c r="F26" s="87"/>
      <c r="G26" s="46"/>
      <c r="H26" s="178"/>
      <c r="I26" s="178"/>
      <c r="J26" s="88"/>
      <c r="K26" s="88"/>
      <c r="L26" s="89"/>
      <c r="M26" s="84"/>
      <c r="N26" s="83"/>
      <c r="O26" s="152"/>
      <c r="P26" s="152"/>
      <c r="Q26" s="152"/>
      <c r="R26" s="152"/>
      <c r="S26" s="153"/>
    </row>
    <row r="27" spans="1:19" ht="6.6" customHeight="1" x14ac:dyDescent="0.25">
      <c r="A27" s="77"/>
      <c r="B27" s="46"/>
      <c r="C27" s="87"/>
      <c r="D27" s="87"/>
      <c r="E27" s="87"/>
      <c r="F27" s="87"/>
      <c r="G27" s="46"/>
      <c r="H27" s="46"/>
      <c r="I27" s="46"/>
      <c r="J27" s="79"/>
      <c r="K27" s="79"/>
      <c r="L27" s="46"/>
      <c r="M27" s="46"/>
      <c r="N27" s="46"/>
      <c r="O27" s="79"/>
      <c r="P27" s="79"/>
      <c r="Q27" s="79"/>
      <c r="R27" s="79"/>
      <c r="S27" s="86"/>
    </row>
    <row r="28" spans="1:19" ht="15.6" customHeight="1" x14ac:dyDescent="0.25">
      <c r="A28" s="77"/>
      <c r="B28" s="57"/>
      <c r="C28" s="141" t="s">
        <v>27</v>
      </c>
      <c r="D28" s="142"/>
      <c r="E28" s="82"/>
      <c r="F28" s="82"/>
      <c r="G28" s="46"/>
      <c r="H28" s="179"/>
      <c r="I28" s="179"/>
      <c r="J28" s="179"/>
      <c r="K28" s="83"/>
      <c r="L28" s="46"/>
      <c r="M28" s="84"/>
      <c r="N28" s="139"/>
      <c r="O28" s="139"/>
      <c r="P28" s="139"/>
      <c r="Q28" s="139"/>
      <c r="R28" s="139"/>
      <c r="S28" s="140"/>
    </row>
    <row r="29" spans="1:19" x14ac:dyDescent="0.25">
      <c r="A29" s="77"/>
      <c r="B29" s="46"/>
      <c r="C29" s="46"/>
      <c r="D29" s="46"/>
      <c r="E29" s="46"/>
      <c r="F29" s="46"/>
      <c r="G29" s="46"/>
      <c r="H29" s="46"/>
      <c r="I29" s="46"/>
      <c r="J29" s="152"/>
      <c r="K29" s="152"/>
      <c r="L29" s="46"/>
      <c r="M29" s="46"/>
      <c r="N29" s="46"/>
      <c r="O29" s="46" t="s">
        <v>28</v>
      </c>
      <c r="P29" s="173" t="str">
        <f>CONVERTIRNUM(R23)</f>
        <v>Trescientos Sesenta y Tres con 00/100</v>
      </c>
      <c r="Q29" s="174"/>
      <c r="R29" s="174"/>
      <c r="S29" s="90" t="s">
        <v>94</v>
      </c>
    </row>
    <row r="30" spans="1:19" x14ac:dyDescent="0.25">
      <c r="A30" s="77"/>
      <c r="B30" s="46"/>
      <c r="C30" s="46"/>
      <c r="D30" s="46"/>
      <c r="E30" s="46"/>
      <c r="F30" s="46"/>
      <c r="G30" s="46"/>
      <c r="H30" s="46"/>
      <c r="I30" s="46"/>
      <c r="J30" s="152"/>
      <c r="K30" s="152"/>
      <c r="L30" s="46"/>
      <c r="M30" s="46"/>
      <c r="N30" s="46"/>
      <c r="O30" s="175" t="s">
        <v>29</v>
      </c>
      <c r="P30" s="175"/>
      <c r="Q30" s="175"/>
      <c r="R30" s="175"/>
      <c r="S30" s="176"/>
    </row>
    <row r="31" spans="1:19" x14ac:dyDescent="0.25">
      <c r="A31" s="77"/>
      <c r="B31" s="46"/>
      <c r="C31" s="46"/>
      <c r="D31" s="46"/>
      <c r="E31" s="46"/>
      <c r="F31" s="46"/>
      <c r="G31" s="46"/>
      <c r="H31" s="46"/>
      <c r="I31" s="46"/>
      <c r="J31" s="79"/>
      <c r="K31" s="79"/>
      <c r="L31" s="46"/>
      <c r="M31" s="46"/>
      <c r="N31" s="46"/>
      <c r="O31" s="91"/>
      <c r="P31" s="91"/>
      <c r="Q31" s="91"/>
      <c r="R31" s="91"/>
      <c r="S31" s="92"/>
    </row>
    <row r="32" spans="1:19" x14ac:dyDescent="0.25">
      <c r="A32" s="77"/>
      <c r="B32" s="46"/>
      <c r="C32" s="46"/>
      <c r="D32" s="46"/>
      <c r="E32" s="46"/>
      <c r="F32" s="46"/>
      <c r="G32" s="46"/>
      <c r="H32" s="46"/>
      <c r="I32" s="46"/>
      <c r="J32" s="79"/>
      <c r="K32" s="79"/>
      <c r="L32" s="46"/>
      <c r="M32" s="46"/>
      <c r="N32" s="46"/>
      <c r="O32" s="91"/>
      <c r="P32" s="91"/>
      <c r="Q32" s="91"/>
      <c r="R32" s="91"/>
      <c r="S32" s="92"/>
    </row>
    <row r="33" spans="1:19" x14ac:dyDescent="0.25">
      <c r="A33" s="9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94"/>
    </row>
    <row r="34" spans="1:19" x14ac:dyDescent="0.25">
      <c r="A34" s="93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94"/>
    </row>
    <row r="35" spans="1:19" x14ac:dyDescent="0.25">
      <c r="A35" s="93"/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94"/>
    </row>
    <row r="36" spans="1:19" x14ac:dyDescent="0.25">
      <c r="A36" s="93"/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94"/>
    </row>
    <row r="37" spans="1:19" x14ac:dyDescent="0.25">
      <c r="A37" s="95">
        <v>1</v>
      </c>
      <c r="B37" s="96"/>
      <c r="C37" s="96"/>
      <c r="D37" s="84"/>
      <c r="E37" s="53">
        <v>2</v>
      </c>
      <c r="F37" s="96"/>
      <c r="G37" s="96"/>
      <c r="H37" s="84"/>
      <c r="I37" s="97"/>
      <c r="J37" s="97"/>
      <c r="K37" s="98">
        <v>3</v>
      </c>
      <c r="L37" s="96"/>
      <c r="M37" s="96"/>
      <c r="N37" s="84"/>
      <c r="O37" s="99">
        <v>4</v>
      </c>
      <c r="P37" s="96"/>
      <c r="Q37" s="96"/>
      <c r="R37" s="96"/>
      <c r="S37" s="94"/>
    </row>
    <row r="38" spans="1:19" ht="33" customHeight="1" thickBot="1" x14ac:dyDescent="0.3">
      <c r="A38" s="100"/>
      <c r="B38" s="102" t="s">
        <v>31</v>
      </c>
      <c r="C38" s="101"/>
      <c r="D38" s="101"/>
      <c r="E38" s="161" t="s">
        <v>388</v>
      </c>
      <c r="F38" s="161"/>
      <c r="G38" s="161"/>
      <c r="H38" s="101"/>
      <c r="I38" s="97"/>
      <c r="J38" s="97"/>
      <c r="K38" s="229" t="s">
        <v>30</v>
      </c>
      <c r="L38" s="229"/>
      <c r="M38" s="229"/>
      <c r="N38" s="101"/>
      <c r="O38" s="101"/>
      <c r="P38" s="162" t="s">
        <v>31</v>
      </c>
      <c r="Q38" s="162"/>
      <c r="R38" s="162"/>
      <c r="S38" s="163"/>
    </row>
    <row r="39" spans="1:19" ht="12" customHeight="1" x14ac:dyDescent="0.25"/>
  </sheetData>
  <mergeCells count="102">
    <mergeCell ref="L2:N2"/>
    <mergeCell ref="A3:I3"/>
    <mergeCell ref="A7:I7"/>
    <mergeCell ref="A8:A10"/>
    <mergeCell ref="B8:G8"/>
    <mergeCell ref="B9:G9"/>
    <mergeCell ref="E10:G10"/>
    <mergeCell ref="I8:N8"/>
    <mergeCell ref="I9:K9"/>
    <mergeCell ref="M9:M10"/>
    <mergeCell ref="N9:N10"/>
    <mergeCell ref="L9:L10"/>
    <mergeCell ref="B2:I2"/>
    <mergeCell ref="J10:K10"/>
    <mergeCell ref="D5:I5"/>
    <mergeCell ref="H6:I6"/>
    <mergeCell ref="A6:C6"/>
    <mergeCell ref="A5:C5"/>
    <mergeCell ref="D6:G6"/>
    <mergeCell ref="K5:N5"/>
    <mergeCell ref="K6:L6"/>
    <mergeCell ref="K38:M38"/>
    <mergeCell ref="K7:L7"/>
    <mergeCell ref="J21:K21"/>
    <mergeCell ref="J15:K15"/>
    <mergeCell ref="J16:K16"/>
    <mergeCell ref="J17:K17"/>
    <mergeCell ref="J18:K18"/>
    <mergeCell ref="J19:K19"/>
    <mergeCell ref="J11:K11"/>
    <mergeCell ref="O8:S8"/>
    <mergeCell ref="O9:Q10"/>
    <mergeCell ref="R9:S10"/>
    <mergeCell ref="O14:Q14"/>
    <mergeCell ref="P5:Q5"/>
    <mergeCell ref="P6:Q6"/>
    <mergeCell ref="R5:S5"/>
    <mergeCell ref="R6:S6"/>
    <mergeCell ref="P2:Q3"/>
    <mergeCell ref="R2:S3"/>
    <mergeCell ref="R17:S17"/>
    <mergeCell ref="R18:S18"/>
    <mergeCell ref="O22:Q22"/>
    <mergeCell ref="O23:Q23"/>
    <mergeCell ref="O24:Q24"/>
    <mergeCell ref="O26:Q26"/>
    <mergeCell ref="O11:Q11"/>
    <mergeCell ref="O12:Q12"/>
    <mergeCell ref="O13:Q13"/>
    <mergeCell ref="O18:Q18"/>
    <mergeCell ref="O19:Q19"/>
    <mergeCell ref="O20:Q20"/>
    <mergeCell ref="O21:Q21"/>
    <mergeCell ref="O17:Q17"/>
    <mergeCell ref="E38:G38"/>
    <mergeCell ref="P38:S38"/>
    <mergeCell ref="E15:G15"/>
    <mergeCell ref="E16:G16"/>
    <mergeCell ref="E17:G17"/>
    <mergeCell ref="E18:G18"/>
    <mergeCell ref="E19:G19"/>
    <mergeCell ref="P29:R29"/>
    <mergeCell ref="O30:S30"/>
    <mergeCell ref="J29:K29"/>
    <mergeCell ref="J30:K30"/>
    <mergeCell ref="H24:I24"/>
    <mergeCell ref="H26:I26"/>
    <mergeCell ref="H28:J28"/>
    <mergeCell ref="J20:K20"/>
    <mergeCell ref="R26:S26"/>
    <mergeCell ref="O15:Q15"/>
    <mergeCell ref="O16:Q16"/>
    <mergeCell ref="J22:K22"/>
    <mergeCell ref="J23:K23"/>
    <mergeCell ref="J24:K24"/>
    <mergeCell ref="R19:S19"/>
    <mergeCell ref="R20:S20"/>
    <mergeCell ref="R16:S16"/>
    <mergeCell ref="A1:S1"/>
    <mergeCell ref="E11:G11"/>
    <mergeCell ref="E12:G12"/>
    <mergeCell ref="E13:G13"/>
    <mergeCell ref="E14:G14"/>
    <mergeCell ref="E20:G20"/>
    <mergeCell ref="E21:G21"/>
    <mergeCell ref="E22:G22"/>
    <mergeCell ref="N28:S28"/>
    <mergeCell ref="C24:D24"/>
    <mergeCell ref="C26:D26"/>
    <mergeCell ref="J13:K13"/>
    <mergeCell ref="J14:K14"/>
    <mergeCell ref="J12:K12"/>
    <mergeCell ref="C28:D28"/>
    <mergeCell ref="R21:S21"/>
    <mergeCell ref="R22:S22"/>
    <mergeCell ref="R23:S23"/>
    <mergeCell ref="R24:S24"/>
    <mergeCell ref="R11:S11"/>
    <mergeCell ref="R12:S12"/>
    <mergeCell ref="R13:S13"/>
    <mergeCell ref="R14:S14"/>
    <mergeCell ref="R15:S15"/>
  </mergeCells>
  <pageMargins left="0.71758333333333335" right="3.937007874015748E-2" top="1.5405" bottom="0.31496062992125984" header="0.11811023622047245" footer="0.31496062992125984"/>
  <pageSetup paperSize="9" scale="79" orientation="landscape" r:id="rId1"/>
  <headerFooter>
    <oddHeader xml:space="preserve">&amp;L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print="0" autoPict="0">
                <anchor>
                  <from>
                    <xdr:col>16</xdr:col>
                    <xdr:colOff>152400</xdr:colOff>
                    <xdr:row>4</xdr:row>
                    <xdr:rowOff>57150</xdr:rowOff>
                  </from>
                  <to>
                    <xdr:col>18</xdr:col>
                    <xdr:colOff>209550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992F6E-A988-4D0E-BADE-3D1534E355A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COMITES</vt:lpstr>
      <vt:lpstr>PECOSA</vt:lpstr>
      <vt:lpstr>PECOSA!Área_de_impresión</vt:lpstr>
      <vt:lpstr>COMITES!ReporteComite_16060120230414112555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ENRIQUE CLARIANA SAAVEDRA</dc:creator>
  <cp:lastModifiedBy>HP</cp:lastModifiedBy>
  <cp:lastPrinted>2026-03-27T15:31:25Z</cp:lastPrinted>
  <dcterms:created xsi:type="dcterms:W3CDTF">2023-04-12T13:26:08Z</dcterms:created>
  <dcterms:modified xsi:type="dcterms:W3CDTF">2026-04-14T15:28:48Z</dcterms:modified>
</cp:coreProperties>
</file>